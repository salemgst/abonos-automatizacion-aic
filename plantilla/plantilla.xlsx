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stavo\Desktop\abonos-aic\plantilla\"/>
    </mc:Choice>
  </mc:AlternateContent>
  <xr:revisionPtr revIDLastSave="0" documentId="13_ncr:1_{AAE0A29F-8D89-416D-8BF6-45F6CBEE3638}" xr6:coauthVersionLast="47" xr6:coauthVersionMax="47" xr10:uidLastSave="{00000000-0000-0000-0000-000000000000}"/>
  <bookViews>
    <workbookView xWindow="-120" yWindow="-120" windowWidth="29040" windowHeight="15720" firstSheet="3" activeTab="4" xr2:uid="{E5640812-4A61-4D1B-AD46-FDAA807DD021}"/>
  </bookViews>
  <sheets>
    <sheet name="DICIEMBRE 2023" sheetId="1" state="hidden" r:id="rId1"/>
    <sheet name="Constancias Mayo" sheetId="9" state="hidden" r:id="rId2"/>
    <sheet name="Constancias Junio" sheetId="11" state="hidden" r:id="rId3"/>
    <sheet name="ENERO" sheetId="29" r:id="rId4"/>
    <sheet name="FEBRERO" sheetId="28" r:id="rId5"/>
    <sheet name="MARZO" sheetId="27" r:id="rId6"/>
    <sheet name="ABRIL" sheetId="26" r:id="rId7"/>
    <sheet name="MAYO" sheetId="25" r:id="rId8"/>
    <sheet name="JUNIO" sheetId="24" r:id="rId9"/>
    <sheet name="JULIO" sheetId="23" r:id="rId10"/>
    <sheet name="AGOSTO" sheetId="22" r:id="rId11"/>
    <sheet name="SEPTIEMBRE" sheetId="21" r:id="rId12"/>
    <sheet name="OCTUBRE" sheetId="20" r:id="rId13"/>
    <sheet name="NOVIEMBRE" sheetId="18" r:id="rId14"/>
    <sheet name="DICIEMBRE" sheetId="17" r:id="rId15"/>
    <sheet name="Constancias Enero " sheetId="10" state="hidden" r:id="rId16"/>
  </sheets>
  <definedNames>
    <definedName name="_xlnm._FilterDatabase" localSheetId="6" hidden="1">ABRIL!$A$5:$H$5</definedName>
    <definedName name="_xlnm._FilterDatabase" localSheetId="10" hidden="1">AGOSTO!$A$5:$H$5</definedName>
    <definedName name="_xlnm._FilterDatabase" localSheetId="15" hidden="1">'Constancias Enero '!$A$1:$H$79</definedName>
    <definedName name="_xlnm._FilterDatabase" localSheetId="2" hidden="1">'Constancias Junio'!$A$1:$I$171</definedName>
    <definedName name="_xlnm._FilterDatabase" localSheetId="1" hidden="1">'Constancias Mayo'!$A$1:$F$41</definedName>
    <definedName name="_xlnm._FilterDatabase" localSheetId="14" hidden="1">DICIEMBRE!$A$5:$H$5</definedName>
    <definedName name="_xlnm._FilterDatabase" localSheetId="3" hidden="1">ENERO!$A$5:$H$5</definedName>
    <definedName name="_xlnm._FilterDatabase" localSheetId="4" hidden="1">FEBRERO!$A$5:$H$5</definedName>
    <definedName name="_xlnm._FilterDatabase" localSheetId="9" hidden="1">JULIO!$A$5:$H$5</definedName>
    <definedName name="_xlnm._FilterDatabase" localSheetId="8" hidden="1">JUNIO!$A$5:$H$5</definedName>
    <definedName name="_xlnm._FilterDatabase" localSheetId="5" hidden="1">MARZO!$A$5:$H$5</definedName>
    <definedName name="_xlnm._FilterDatabase" localSheetId="7" hidden="1">MAYO!$A$5:$H$5</definedName>
    <definedName name="_xlnm._FilterDatabase" localSheetId="13" hidden="1">NOVIEMBRE!$A$5:$H$5</definedName>
    <definedName name="_xlnm._FilterDatabase" localSheetId="12" hidden="1">OCTUBRE!$A$5:$H$5</definedName>
    <definedName name="_xlnm._FilterDatabase" localSheetId="11" hidden="1">SEPTIEMBRE!$A$5:$H$5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4" i="29" l="1"/>
  <c r="C164" i="29"/>
  <c r="E7" i="29"/>
  <c r="E8" i="29" s="1"/>
  <c r="E9" i="29" s="1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E70" i="29" s="1"/>
  <c r="E71" i="29" s="1"/>
  <c r="E72" i="29" s="1"/>
  <c r="E73" i="29" s="1"/>
  <c r="E74" i="29" s="1"/>
  <c r="E75" i="29" s="1"/>
  <c r="E76" i="29" s="1"/>
  <c r="E77" i="29" s="1"/>
  <c r="E78" i="29" s="1"/>
  <c r="E79" i="29" s="1"/>
  <c r="E80" i="29" s="1"/>
  <c r="E81" i="29" s="1"/>
  <c r="E82" i="29" s="1"/>
  <c r="E83" i="29" s="1"/>
  <c r="E84" i="29" s="1"/>
  <c r="E85" i="29" s="1"/>
  <c r="E86" i="29" s="1"/>
  <c r="E87" i="29" s="1"/>
  <c r="E88" i="29" s="1"/>
  <c r="E89" i="29" s="1"/>
  <c r="E90" i="29" s="1"/>
  <c r="E91" i="29" s="1"/>
  <c r="E92" i="29" s="1"/>
  <c r="E93" i="29" s="1"/>
  <c r="E94" i="29" s="1"/>
  <c r="E95" i="29" s="1"/>
  <c r="E96" i="29" s="1"/>
  <c r="E97" i="29" s="1"/>
  <c r="E98" i="29" s="1"/>
  <c r="E99" i="29" s="1"/>
  <c r="E100" i="29" s="1"/>
  <c r="E101" i="29" s="1"/>
  <c r="E102" i="29" s="1"/>
  <c r="E103" i="29" s="1"/>
  <c r="E104" i="29" s="1"/>
  <c r="E105" i="29" s="1"/>
  <c r="E106" i="29" s="1"/>
  <c r="E107" i="29" s="1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E118" i="29" s="1"/>
  <c r="E119" i="29" s="1"/>
  <c r="E120" i="29" s="1"/>
  <c r="E121" i="29" s="1"/>
  <c r="E122" i="29" s="1"/>
  <c r="E123" i="29" s="1"/>
  <c r="E124" i="29" s="1"/>
  <c r="E125" i="29" s="1"/>
  <c r="E126" i="29" s="1"/>
  <c r="E127" i="29" s="1"/>
  <c r="E128" i="29" s="1"/>
  <c r="E129" i="29" s="1"/>
  <c r="E130" i="29" s="1"/>
  <c r="E131" i="29" s="1"/>
  <c r="E132" i="29" s="1"/>
  <c r="E133" i="29" s="1"/>
  <c r="E134" i="29" s="1"/>
  <c r="E135" i="29" s="1"/>
  <c r="E136" i="29" s="1"/>
  <c r="E137" i="29" s="1"/>
  <c r="E138" i="29" s="1"/>
  <c r="E139" i="29" s="1"/>
  <c r="E140" i="29" s="1"/>
  <c r="E141" i="29" s="1"/>
  <c r="E142" i="29" s="1"/>
  <c r="E143" i="29" s="1"/>
  <c r="E144" i="29" s="1"/>
  <c r="E145" i="29" s="1"/>
  <c r="E146" i="29" s="1"/>
  <c r="E147" i="29" s="1"/>
  <c r="E148" i="29" s="1"/>
  <c r="E149" i="29" s="1"/>
  <c r="E150" i="29" s="1"/>
  <c r="E151" i="29" s="1"/>
  <c r="E152" i="29" s="1"/>
  <c r="E153" i="29" s="1"/>
  <c r="E154" i="29" s="1"/>
  <c r="E155" i="29" s="1"/>
  <c r="E156" i="29" s="1"/>
  <c r="E157" i="29" s="1"/>
  <c r="E158" i="29" s="1"/>
  <c r="E159" i="29" s="1"/>
  <c r="E160" i="29" s="1"/>
  <c r="E161" i="29" s="1"/>
  <c r="E162" i="29" s="1"/>
  <c r="E163" i="29" s="1"/>
  <c r="D164" i="28"/>
  <c r="C164" i="28"/>
  <c r="E7" i="28"/>
  <c r="E8" i="28" s="1"/>
  <c r="E9" i="28" s="1"/>
  <c r="E10" i="28" s="1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E71" i="28" s="1"/>
  <c r="E72" i="28" s="1"/>
  <c r="E73" i="28" s="1"/>
  <c r="E74" i="28" s="1"/>
  <c r="E75" i="28" s="1"/>
  <c r="E76" i="28" s="1"/>
  <c r="E77" i="28" s="1"/>
  <c r="E78" i="28" s="1"/>
  <c r="E79" i="28" s="1"/>
  <c r="E80" i="28" s="1"/>
  <c r="E81" i="28" s="1"/>
  <c r="E82" i="28" s="1"/>
  <c r="E83" i="28" s="1"/>
  <c r="E84" i="28" s="1"/>
  <c r="E85" i="28" s="1"/>
  <c r="E86" i="28" s="1"/>
  <c r="E87" i="28" s="1"/>
  <c r="E88" i="28" s="1"/>
  <c r="E89" i="28" s="1"/>
  <c r="E90" i="28" s="1"/>
  <c r="E91" i="28" s="1"/>
  <c r="E92" i="28" s="1"/>
  <c r="E93" i="28" s="1"/>
  <c r="E94" i="28" s="1"/>
  <c r="E95" i="28" s="1"/>
  <c r="E96" i="28" s="1"/>
  <c r="E97" i="28" s="1"/>
  <c r="E98" i="28" s="1"/>
  <c r="E99" i="28" s="1"/>
  <c r="E100" i="28" s="1"/>
  <c r="E101" i="28" s="1"/>
  <c r="E102" i="28" s="1"/>
  <c r="E103" i="28" s="1"/>
  <c r="E104" i="28" s="1"/>
  <c r="E105" i="28" s="1"/>
  <c r="E106" i="28" s="1"/>
  <c r="E107" i="28" s="1"/>
  <c r="E108" i="28" s="1"/>
  <c r="E109" i="28" s="1"/>
  <c r="E110" i="28" s="1"/>
  <c r="E111" i="28" s="1"/>
  <c r="E112" i="28" s="1"/>
  <c r="E113" i="28" s="1"/>
  <c r="E114" i="28" s="1"/>
  <c r="E115" i="28" s="1"/>
  <c r="E116" i="28" s="1"/>
  <c r="E117" i="28" s="1"/>
  <c r="E118" i="28" s="1"/>
  <c r="E119" i="28" s="1"/>
  <c r="E120" i="28" s="1"/>
  <c r="E121" i="28" s="1"/>
  <c r="E122" i="28" s="1"/>
  <c r="E123" i="28" s="1"/>
  <c r="E124" i="28" s="1"/>
  <c r="E125" i="28" s="1"/>
  <c r="E126" i="28" s="1"/>
  <c r="E127" i="28" s="1"/>
  <c r="E128" i="28" s="1"/>
  <c r="E129" i="28" s="1"/>
  <c r="E130" i="28" s="1"/>
  <c r="E131" i="28" s="1"/>
  <c r="E132" i="28" s="1"/>
  <c r="E133" i="28" s="1"/>
  <c r="E134" i="28" s="1"/>
  <c r="E135" i="28" s="1"/>
  <c r="E136" i="28" s="1"/>
  <c r="E137" i="28" s="1"/>
  <c r="E138" i="28" s="1"/>
  <c r="E139" i="28" s="1"/>
  <c r="E140" i="28" s="1"/>
  <c r="E141" i="28" s="1"/>
  <c r="E142" i="28" s="1"/>
  <c r="E143" i="28" s="1"/>
  <c r="E144" i="28" s="1"/>
  <c r="E145" i="28" s="1"/>
  <c r="E146" i="28" s="1"/>
  <c r="E147" i="28" s="1"/>
  <c r="E148" i="28" s="1"/>
  <c r="E149" i="28" s="1"/>
  <c r="E150" i="28" s="1"/>
  <c r="E151" i="28" s="1"/>
  <c r="E152" i="28" s="1"/>
  <c r="E153" i="28" s="1"/>
  <c r="E154" i="28" s="1"/>
  <c r="E155" i="28" s="1"/>
  <c r="E156" i="28" s="1"/>
  <c r="E157" i="28" s="1"/>
  <c r="E158" i="28" s="1"/>
  <c r="E159" i="28" s="1"/>
  <c r="E160" i="28" s="1"/>
  <c r="E161" i="28" s="1"/>
  <c r="E162" i="28" s="1"/>
  <c r="E163" i="28" s="1"/>
  <c r="D164" i="27"/>
  <c r="C164" i="27"/>
  <c r="E7" i="27"/>
  <c r="E8" i="27" s="1"/>
  <c r="E9" i="27" s="1"/>
  <c r="E10" i="27" s="1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D164" i="26"/>
  <c r="C164" i="26"/>
  <c r="E7" i="26"/>
  <c r="E8" i="26" s="1"/>
  <c r="E9" i="26" s="1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01" i="26" s="1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D164" i="25"/>
  <c r="C164" i="25"/>
  <c r="E7" i="25"/>
  <c r="E8" i="25" s="1"/>
  <c r="E9" i="25" s="1"/>
  <c r="E10" i="25" s="1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E101" i="25" s="1"/>
  <c r="E102" i="25" s="1"/>
  <c r="E103" i="25" s="1"/>
  <c r="E104" i="25" s="1"/>
  <c r="E105" i="25" s="1"/>
  <c r="E106" i="25" s="1"/>
  <c r="E107" i="25" s="1"/>
  <c r="E108" i="25" s="1"/>
  <c r="E109" i="25" s="1"/>
  <c r="E110" i="25" s="1"/>
  <c r="E111" i="25" s="1"/>
  <c r="E112" i="25" s="1"/>
  <c r="E113" i="25" s="1"/>
  <c r="E114" i="25" s="1"/>
  <c r="E115" i="25" s="1"/>
  <c r="E116" i="25" s="1"/>
  <c r="E117" i="25" s="1"/>
  <c r="E118" i="25" s="1"/>
  <c r="E119" i="25" s="1"/>
  <c r="E120" i="25" s="1"/>
  <c r="E121" i="25" s="1"/>
  <c r="E122" i="25" s="1"/>
  <c r="E123" i="25" s="1"/>
  <c r="E124" i="25" s="1"/>
  <c r="E125" i="25" s="1"/>
  <c r="E126" i="25" s="1"/>
  <c r="E127" i="25" s="1"/>
  <c r="E128" i="25" s="1"/>
  <c r="E129" i="25" s="1"/>
  <c r="E130" i="25" s="1"/>
  <c r="E131" i="25" s="1"/>
  <c r="E132" i="25" s="1"/>
  <c r="E133" i="25" s="1"/>
  <c r="E134" i="25" s="1"/>
  <c r="E135" i="25" s="1"/>
  <c r="E136" i="25" s="1"/>
  <c r="E137" i="25" s="1"/>
  <c r="E138" i="25" s="1"/>
  <c r="E139" i="25" s="1"/>
  <c r="E140" i="25" s="1"/>
  <c r="E141" i="25" s="1"/>
  <c r="E142" i="25" s="1"/>
  <c r="E143" i="25" s="1"/>
  <c r="E144" i="25" s="1"/>
  <c r="E145" i="25" s="1"/>
  <c r="E146" i="25" s="1"/>
  <c r="E147" i="25" s="1"/>
  <c r="E148" i="25" s="1"/>
  <c r="E149" i="25" s="1"/>
  <c r="E150" i="25" s="1"/>
  <c r="E151" i="25" s="1"/>
  <c r="E152" i="25" s="1"/>
  <c r="E153" i="25" s="1"/>
  <c r="E154" i="25" s="1"/>
  <c r="E155" i="25" s="1"/>
  <c r="E156" i="25" s="1"/>
  <c r="E157" i="25" s="1"/>
  <c r="E158" i="25" s="1"/>
  <c r="E159" i="25" s="1"/>
  <c r="E160" i="25" s="1"/>
  <c r="E161" i="25" s="1"/>
  <c r="E162" i="25" s="1"/>
  <c r="E163" i="25" s="1"/>
  <c r="D164" i="24"/>
  <c r="C164" i="24"/>
  <c r="E7" i="24"/>
  <c r="E8" i="24" s="1"/>
  <c r="E9" i="24" s="1"/>
  <c r="E10" i="24" s="1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E38" i="24" s="1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E115" i="24" s="1"/>
  <c r="E116" i="24" s="1"/>
  <c r="E117" i="24" s="1"/>
  <c r="E118" i="24" s="1"/>
  <c r="E119" i="24" s="1"/>
  <c r="E120" i="24" s="1"/>
  <c r="E121" i="24" s="1"/>
  <c r="E122" i="24" s="1"/>
  <c r="E123" i="24" s="1"/>
  <c r="E124" i="24" s="1"/>
  <c r="E125" i="24" s="1"/>
  <c r="E126" i="24" s="1"/>
  <c r="E127" i="24" s="1"/>
  <c r="E128" i="24" s="1"/>
  <c r="E129" i="24" s="1"/>
  <c r="E130" i="24" s="1"/>
  <c r="E131" i="24" s="1"/>
  <c r="E132" i="24" s="1"/>
  <c r="E133" i="24" s="1"/>
  <c r="E134" i="24" s="1"/>
  <c r="E135" i="24" s="1"/>
  <c r="E136" i="24" s="1"/>
  <c r="E137" i="24" s="1"/>
  <c r="E138" i="24" s="1"/>
  <c r="E139" i="24" s="1"/>
  <c r="E140" i="24" s="1"/>
  <c r="E141" i="24" s="1"/>
  <c r="E142" i="24" s="1"/>
  <c r="E143" i="24" s="1"/>
  <c r="E144" i="24" s="1"/>
  <c r="E145" i="24" s="1"/>
  <c r="E146" i="24" s="1"/>
  <c r="E147" i="24" s="1"/>
  <c r="E148" i="24" s="1"/>
  <c r="E149" i="24" s="1"/>
  <c r="E150" i="24" s="1"/>
  <c r="E151" i="24" s="1"/>
  <c r="E152" i="24" s="1"/>
  <c r="E153" i="24" s="1"/>
  <c r="E154" i="24" s="1"/>
  <c r="E155" i="24" s="1"/>
  <c r="E156" i="24" s="1"/>
  <c r="E157" i="24" s="1"/>
  <c r="E158" i="24" s="1"/>
  <c r="E159" i="24" s="1"/>
  <c r="E160" i="24" s="1"/>
  <c r="E161" i="24" s="1"/>
  <c r="E162" i="24" s="1"/>
  <c r="E163" i="24" s="1"/>
  <c r="D164" i="23"/>
  <c r="C164" i="23"/>
  <c r="E7" i="23"/>
  <c r="E8" i="23" s="1"/>
  <c r="E9" i="23" s="1"/>
  <c r="E10" i="23" s="1"/>
  <c r="E11" i="23" s="1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106" i="23" s="1"/>
  <c r="E107" i="23" s="1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119" i="23" s="1"/>
  <c r="E120" i="23" s="1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32" i="23" s="1"/>
  <c r="E133" i="23" s="1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E145" i="23" s="1"/>
  <c r="E146" i="23" s="1"/>
  <c r="E147" i="23" s="1"/>
  <c r="E148" i="23" s="1"/>
  <c r="E149" i="23" s="1"/>
  <c r="E150" i="23" s="1"/>
  <c r="E151" i="23" s="1"/>
  <c r="E152" i="23" s="1"/>
  <c r="E153" i="23" s="1"/>
  <c r="E154" i="23" s="1"/>
  <c r="E155" i="23" s="1"/>
  <c r="E156" i="23" s="1"/>
  <c r="E157" i="23" s="1"/>
  <c r="E158" i="23" s="1"/>
  <c r="E159" i="23" s="1"/>
  <c r="E160" i="23" s="1"/>
  <c r="E161" i="23" s="1"/>
  <c r="E162" i="23" s="1"/>
  <c r="E163" i="23" s="1"/>
  <c r="D164" i="22"/>
  <c r="C164" i="22"/>
  <c r="E7" i="22"/>
  <c r="E8" i="22" s="1"/>
  <c r="E9" i="22" s="1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D164" i="21"/>
  <c r="C164" i="21"/>
  <c r="E7" i="21"/>
  <c r="E8" i="21" s="1"/>
  <c r="E9" i="21" s="1"/>
  <c r="E10" i="21" s="1"/>
  <c r="E11" i="21" s="1"/>
  <c r="E12" i="21" s="1"/>
  <c r="E13" i="21" s="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E97" i="21" s="1"/>
  <c r="E98" i="21" s="1"/>
  <c r="E99" i="21" s="1"/>
  <c r="E100" i="21" s="1"/>
  <c r="E101" i="21" s="1"/>
  <c r="E102" i="21" s="1"/>
  <c r="E103" i="21" s="1"/>
  <c r="E104" i="21" s="1"/>
  <c r="E105" i="21" s="1"/>
  <c r="E106" i="21" s="1"/>
  <c r="E107" i="21" s="1"/>
  <c r="E108" i="21" s="1"/>
  <c r="E109" i="21" s="1"/>
  <c r="E110" i="21" s="1"/>
  <c r="E111" i="21" s="1"/>
  <c r="E112" i="21" s="1"/>
  <c r="E113" i="21" s="1"/>
  <c r="E114" i="21" s="1"/>
  <c r="E115" i="21" s="1"/>
  <c r="E116" i="21" s="1"/>
  <c r="E117" i="21" s="1"/>
  <c r="E118" i="21" s="1"/>
  <c r="E119" i="21" s="1"/>
  <c r="E120" i="21" s="1"/>
  <c r="E121" i="21" s="1"/>
  <c r="E122" i="21" s="1"/>
  <c r="E123" i="21" s="1"/>
  <c r="E124" i="21" s="1"/>
  <c r="E125" i="21" s="1"/>
  <c r="E126" i="21" s="1"/>
  <c r="E127" i="21" s="1"/>
  <c r="E128" i="21" s="1"/>
  <c r="E129" i="21" s="1"/>
  <c r="E130" i="21" s="1"/>
  <c r="E131" i="21" s="1"/>
  <c r="E132" i="21" s="1"/>
  <c r="E133" i="21" s="1"/>
  <c r="E134" i="21" s="1"/>
  <c r="E135" i="21" s="1"/>
  <c r="E136" i="21" s="1"/>
  <c r="E137" i="21" s="1"/>
  <c r="E138" i="21" s="1"/>
  <c r="E139" i="21" s="1"/>
  <c r="E140" i="21" s="1"/>
  <c r="E141" i="21" s="1"/>
  <c r="E142" i="21" s="1"/>
  <c r="E143" i="21" s="1"/>
  <c r="E144" i="21" s="1"/>
  <c r="E145" i="21" s="1"/>
  <c r="E146" i="21" s="1"/>
  <c r="E147" i="21" s="1"/>
  <c r="E148" i="21" s="1"/>
  <c r="E149" i="21" s="1"/>
  <c r="E150" i="21" s="1"/>
  <c r="E151" i="21" s="1"/>
  <c r="E152" i="21" s="1"/>
  <c r="E153" i="21" s="1"/>
  <c r="E154" i="21" s="1"/>
  <c r="E155" i="21" s="1"/>
  <c r="E156" i="21" s="1"/>
  <c r="E157" i="21" s="1"/>
  <c r="E158" i="21" s="1"/>
  <c r="E159" i="21" s="1"/>
  <c r="E160" i="21" s="1"/>
  <c r="E161" i="21" s="1"/>
  <c r="E162" i="21" s="1"/>
  <c r="E163" i="21" s="1"/>
  <c r="D164" i="20"/>
  <c r="C164" i="20"/>
  <c r="E7" i="20"/>
  <c r="E8" i="20" s="1"/>
  <c r="E9" i="20" s="1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04" i="20" s="1"/>
  <c r="E105" i="20" s="1"/>
  <c r="E106" i="20" s="1"/>
  <c r="E107" i="20" s="1"/>
  <c r="E108" i="20" s="1"/>
  <c r="E109" i="20" s="1"/>
  <c r="E110" i="20" s="1"/>
  <c r="E111" i="20" s="1"/>
  <c r="E112" i="20" s="1"/>
  <c r="E113" i="20" s="1"/>
  <c r="E114" i="20" s="1"/>
  <c r="E115" i="20" s="1"/>
  <c r="E116" i="20" s="1"/>
  <c r="E117" i="20" s="1"/>
  <c r="E118" i="20" s="1"/>
  <c r="E119" i="20" s="1"/>
  <c r="E120" i="20" s="1"/>
  <c r="E121" i="20" s="1"/>
  <c r="E122" i="20" s="1"/>
  <c r="E123" i="20" s="1"/>
  <c r="E124" i="20" s="1"/>
  <c r="E125" i="20" s="1"/>
  <c r="E126" i="20" s="1"/>
  <c r="E127" i="20" s="1"/>
  <c r="E128" i="20" s="1"/>
  <c r="E129" i="20" s="1"/>
  <c r="E130" i="20" s="1"/>
  <c r="E131" i="20" s="1"/>
  <c r="E132" i="20" s="1"/>
  <c r="E133" i="20" s="1"/>
  <c r="E134" i="20" s="1"/>
  <c r="E135" i="20" s="1"/>
  <c r="E136" i="20" s="1"/>
  <c r="E137" i="20" s="1"/>
  <c r="E138" i="20" s="1"/>
  <c r="E139" i="20" s="1"/>
  <c r="E140" i="20" s="1"/>
  <c r="E141" i="20" s="1"/>
  <c r="E142" i="20" s="1"/>
  <c r="E143" i="20" s="1"/>
  <c r="E144" i="20" s="1"/>
  <c r="E145" i="20" s="1"/>
  <c r="E146" i="20" s="1"/>
  <c r="E147" i="20" s="1"/>
  <c r="E148" i="20" s="1"/>
  <c r="E149" i="20" s="1"/>
  <c r="E150" i="20" s="1"/>
  <c r="E151" i="20" s="1"/>
  <c r="E152" i="20" s="1"/>
  <c r="E153" i="20" s="1"/>
  <c r="E154" i="20" s="1"/>
  <c r="E155" i="20" s="1"/>
  <c r="E156" i="20" s="1"/>
  <c r="E157" i="20" s="1"/>
  <c r="E158" i="20" s="1"/>
  <c r="E159" i="20" s="1"/>
  <c r="E160" i="20" s="1"/>
  <c r="E161" i="20" s="1"/>
  <c r="E162" i="20" s="1"/>
  <c r="E163" i="20" s="1"/>
  <c r="D164" i="18"/>
  <c r="C164" i="18"/>
  <c r="E7" i="18"/>
  <c r="E8" i="18" s="1"/>
  <c r="E9" i="18" s="1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E77" i="18" s="1"/>
  <c r="E78" i="18" s="1"/>
  <c r="E79" i="18" s="1"/>
  <c r="E80" i="18" s="1"/>
  <c r="E81" i="18" s="1"/>
  <c r="E82" i="18" s="1"/>
  <c r="E83" i="18" s="1"/>
  <c r="E84" i="18" s="1"/>
  <c r="E85" i="18" s="1"/>
  <c r="E86" i="18" s="1"/>
  <c r="E87" i="18" s="1"/>
  <c r="E88" i="18" s="1"/>
  <c r="E89" i="18" s="1"/>
  <c r="E90" i="18" s="1"/>
  <c r="E91" i="18" s="1"/>
  <c r="E92" i="18" s="1"/>
  <c r="E93" i="18" s="1"/>
  <c r="E94" i="18" s="1"/>
  <c r="E95" i="18" s="1"/>
  <c r="E96" i="18" s="1"/>
  <c r="E97" i="18" s="1"/>
  <c r="E98" i="18" s="1"/>
  <c r="E99" i="18" s="1"/>
  <c r="E100" i="18" s="1"/>
  <c r="E101" i="18" s="1"/>
  <c r="E102" i="18" s="1"/>
  <c r="E103" i="18" s="1"/>
  <c r="E104" i="18" s="1"/>
  <c r="E105" i="18" s="1"/>
  <c r="E106" i="18" s="1"/>
  <c r="E107" i="18" s="1"/>
  <c r="E108" i="18" s="1"/>
  <c r="E109" i="18" s="1"/>
  <c r="E110" i="18" s="1"/>
  <c r="E111" i="18" s="1"/>
  <c r="E112" i="18" s="1"/>
  <c r="E113" i="18" s="1"/>
  <c r="E114" i="18" s="1"/>
  <c r="E115" i="18" s="1"/>
  <c r="E116" i="18" s="1"/>
  <c r="E117" i="18" s="1"/>
  <c r="E118" i="18" s="1"/>
  <c r="E119" i="18" s="1"/>
  <c r="E120" i="18" s="1"/>
  <c r="E121" i="18" s="1"/>
  <c r="E122" i="18" s="1"/>
  <c r="E123" i="18" s="1"/>
  <c r="E124" i="18" s="1"/>
  <c r="E125" i="18" s="1"/>
  <c r="E126" i="18" s="1"/>
  <c r="E127" i="18" s="1"/>
  <c r="E128" i="18" s="1"/>
  <c r="E129" i="18" s="1"/>
  <c r="E130" i="18" s="1"/>
  <c r="E131" i="18" s="1"/>
  <c r="E132" i="18" s="1"/>
  <c r="E133" i="18" s="1"/>
  <c r="E134" i="18" s="1"/>
  <c r="E135" i="18" s="1"/>
  <c r="E136" i="18" s="1"/>
  <c r="E137" i="18" s="1"/>
  <c r="E138" i="18" s="1"/>
  <c r="E139" i="18" s="1"/>
  <c r="E140" i="18" s="1"/>
  <c r="E141" i="18" s="1"/>
  <c r="E142" i="18" s="1"/>
  <c r="E143" i="18" s="1"/>
  <c r="E144" i="18" s="1"/>
  <c r="E145" i="18" s="1"/>
  <c r="E146" i="18" s="1"/>
  <c r="E147" i="18" s="1"/>
  <c r="E148" i="18" s="1"/>
  <c r="E149" i="18" s="1"/>
  <c r="E150" i="18" s="1"/>
  <c r="E151" i="18" s="1"/>
  <c r="E152" i="18" s="1"/>
  <c r="E153" i="18" s="1"/>
  <c r="E154" i="18" s="1"/>
  <c r="E155" i="18" s="1"/>
  <c r="E156" i="18" s="1"/>
  <c r="E157" i="18" s="1"/>
  <c r="E158" i="18" s="1"/>
  <c r="E159" i="18" s="1"/>
  <c r="E160" i="18" s="1"/>
  <c r="E161" i="18" s="1"/>
  <c r="E162" i="18" s="1"/>
  <c r="E163" i="18" s="1"/>
  <c r="E79" i="10"/>
  <c r="H78" i="10"/>
  <c r="H74" i="10"/>
  <c r="H66" i="10"/>
  <c r="H53" i="10"/>
  <c r="H51" i="10"/>
  <c r="H49" i="10"/>
  <c r="H40" i="10"/>
  <c r="H38" i="10"/>
  <c r="H29" i="10"/>
  <c r="H25" i="10"/>
  <c r="H21" i="10"/>
  <c r="H20" i="10"/>
  <c r="H17" i="10"/>
  <c r="H15" i="10"/>
  <c r="H11" i="10"/>
  <c r="H10" i="10"/>
  <c r="H9" i="10"/>
  <c r="H6" i="10"/>
  <c r="H4" i="10"/>
  <c r="D164" i="17"/>
  <c r="C164" i="17"/>
  <c r="E7" i="17"/>
  <c r="E8" i="17" s="1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E143" i="17" s="1"/>
  <c r="E144" i="17" s="1"/>
  <c r="E145" i="17" s="1"/>
  <c r="E146" i="17" s="1"/>
  <c r="E147" i="17" s="1"/>
  <c r="E148" i="17" s="1"/>
  <c r="E149" i="17" s="1"/>
  <c r="E150" i="17" s="1"/>
  <c r="E151" i="17" s="1"/>
  <c r="E152" i="17" s="1"/>
  <c r="E153" i="17" s="1"/>
  <c r="E154" i="17" s="1"/>
  <c r="E155" i="17" s="1"/>
  <c r="E156" i="17" s="1"/>
  <c r="E157" i="17" s="1"/>
  <c r="E158" i="17" s="1"/>
  <c r="E159" i="17" s="1"/>
  <c r="E160" i="17" s="1"/>
  <c r="E161" i="17" s="1"/>
  <c r="E162" i="17" s="1"/>
  <c r="E163" i="17" s="1"/>
  <c r="H110" i="11"/>
  <c r="L8" i="1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Rocio Montañez Arteaga</author>
  </authors>
  <commentList>
    <comment ref="E6" authorId="0" shapeId="0" xr:uid="{1750FF88-992D-4205-A608-40D805C54AD8}">
      <text>
        <r>
          <rPr>
            <b/>
            <sz val="9"/>
            <color indexed="81"/>
            <rFont val="Tahoma"/>
            <family val="2"/>
          </rPr>
          <t>INGRESO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" authorId="0" shapeId="0" xr:uid="{40593CB2-5A5E-4796-8EA8-50D6CE2046D4}">
      <text>
        <r>
          <rPr>
            <b/>
            <sz val="9"/>
            <color indexed="81"/>
            <rFont val="Tahoma"/>
            <family val="2"/>
          </rPr>
          <t>INGRESO</t>
        </r>
      </text>
    </comment>
  </commentList>
</comments>
</file>

<file path=xl/sharedStrings.xml><?xml version="1.0" encoding="utf-8"?>
<sst xmlns="http://schemas.openxmlformats.org/spreadsheetml/2006/main" count="1325" uniqueCount="554">
  <si>
    <t xml:space="preserve">Tipo    Cta.Cte.        </t>
  </si>
  <si>
    <t>ESTADO CUENTA DICIEMBRE 2023</t>
  </si>
  <si>
    <t>194-1829324-0-19</t>
  </si>
  <si>
    <t>BCP SOLARES</t>
  </si>
  <si>
    <t>Moneda Soles</t>
  </si>
  <si>
    <t>FECHA</t>
  </si>
  <si>
    <t xml:space="preserve">DETALLE </t>
  </si>
  <si>
    <t xml:space="preserve">CARGOS </t>
  </si>
  <si>
    <t>ABONOS</t>
  </si>
  <si>
    <t>SALDOS</t>
  </si>
  <si>
    <t>OBSERVACIÓN</t>
  </si>
  <si>
    <t>SALDO INICIAL</t>
  </si>
  <si>
    <t>ENTR.EFEC. 0109720</t>
  </si>
  <si>
    <t>AG. RICARDO PALMA</t>
  </si>
  <si>
    <t>TRAN.CTAS.TERC.BM</t>
  </si>
  <si>
    <t>TRANS BCO BBVA</t>
  </si>
  <si>
    <t>TRANS BCO INTERBANK</t>
  </si>
  <si>
    <t>TRANSF.BCO.SCOTIABANK</t>
  </si>
  <si>
    <t>ITF</t>
  </si>
  <si>
    <t>DE REXTIE S.A.C</t>
  </si>
  <si>
    <t>A 570-73920178-0</t>
  </si>
  <si>
    <t>AG. ASIA</t>
  </si>
  <si>
    <t>ENVIO EECC</t>
  </si>
  <si>
    <t>COM. MANTENIMIENTO</t>
  </si>
  <si>
    <t>SALDO AL 31 DE DICIEMBRE DEL 2023</t>
  </si>
  <si>
    <t>Fecha</t>
  </si>
  <si>
    <t>Proveedor</t>
  </si>
  <si>
    <t xml:space="preserve">Descripcion/detalle </t>
  </si>
  <si>
    <t>Dolares</t>
  </si>
  <si>
    <t>Soles</t>
  </si>
  <si>
    <t>Banco</t>
  </si>
  <si>
    <t>Aral Corp SA</t>
  </si>
  <si>
    <t>Adelanto Caral Corp</t>
  </si>
  <si>
    <t>Bcp mn</t>
  </si>
  <si>
    <t>Feral Ingenieros SAC</t>
  </si>
  <si>
    <t>Adelanto Camion Grua</t>
  </si>
  <si>
    <t>Adelanto pafo ft E001-65 Feral Ingenieros SAC 20609018896</t>
  </si>
  <si>
    <t>Mekani-K Motors S</t>
  </si>
  <si>
    <t>Adelanto Mekani Retro</t>
  </si>
  <si>
    <t>Adelanto Postes 29.05</t>
  </si>
  <si>
    <t>AIC Servicios Generales</t>
  </si>
  <si>
    <t>Prestamo Mayo AIC</t>
  </si>
  <si>
    <t>Adelanto postes 3</t>
  </si>
  <si>
    <t>Fernandez Mendoza Miguel</t>
  </si>
  <si>
    <t>Adelanto Sueldo MIguel Fernandez</t>
  </si>
  <si>
    <t>Rojas Garcia Ronald G</t>
  </si>
  <si>
    <t>Alquiler Palomino</t>
  </si>
  <si>
    <t>Flores Falcon Carlos Alberto</t>
  </si>
  <si>
    <t>Atencion Ica</t>
  </si>
  <si>
    <t>Interbank MN</t>
  </si>
  <si>
    <t>Esquivel Yanque Miguel A.</t>
  </si>
  <si>
    <t>Atenciones Arequipa</t>
  </si>
  <si>
    <t>Pago RxHE001-5 Esquivel Yanque Miguel Angel 10750565765</t>
  </si>
  <si>
    <t>Garcia Huaman Karen</t>
  </si>
  <si>
    <t>Caja Chica Garcia Karen</t>
  </si>
  <si>
    <t>caja chica Garcia Karen 16.05.24</t>
  </si>
  <si>
    <t>Valdiviezo Madrid Gladys Vanesa</t>
  </si>
  <si>
    <t>caja chica Vanesa Valdiviezo 28.05.24</t>
  </si>
  <si>
    <t>Caja Chica Garcia Huaman Karen</t>
  </si>
  <si>
    <t>Ortiz Castillo Jaime R.</t>
  </si>
  <si>
    <t>Certificador Jaime</t>
  </si>
  <si>
    <t>Bcp me</t>
  </si>
  <si>
    <t>Julio Andres Tirado L.</t>
  </si>
  <si>
    <t>Compra Laptop</t>
  </si>
  <si>
    <t>Pago Ft E001-25 Digiway 20608060638</t>
  </si>
  <si>
    <t>Distribuidora Arnold &amp; Alexis EIRL</t>
  </si>
  <si>
    <t>Compra Tubos</t>
  </si>
  <si>
    <t>Compra Cortavientos</t>
  </si>
  <si>
    <t>Distribuidora Arnold y Alexias</t>
  </si>
  <si>
    <t>Medicos Salud Unión en Alerta SAC</t>
  </si>
  <si>
    <t>Pago Emo Conductor</t>
  </si>
  <si>
    <t>bcp mn</t>
  </si>
  <si>
    <t>Pago Emo Super Cableado</t>
  </si>
  <si>
    <t>Pago FT F001-20744 Medicos Salud Union</t>
  </si>
  <si>
    <t>Pago Emo tendido Fibra</t>
  </si>
  <si>
    <t>Ferreteria C</t>
  </si>
  <si>
    <t>Pago Ferreteria Central</t>
  </si>
  <si>
    <t>Pago Ferreteria Central2</t>
  </si>
  <si>
    <t>flete postes aral corp</t>
  </si>
  <si>
    <t>Garantia Palomino</t>
  </si>
  <si>
    <t xml:space="preserve">Lisbeth Fiorella Gaspar </t>
  </si>
  <si>
    <t>Limpieza Casa Marcona</t>
  </si>
  <si>
    <t>Pago RxH E001-7 Gaspar Fiorella</t>
  </si>
  <si>
    <t>Mekani Motors</t>
  </si>
  <si>
    <t>Electromecanica El Detalle SRL</t>
  </si>
  <si>
    <t>Muestra Bandeja</t>
  </si>
  <si>
    <t>Nexus Technology S</t>
  </si>
  <si>
    <t>nexus 2</t>
  </si>
  <si>
    <t>Nexus</t>
  </si>
  <si>
    <t>AIC Servicios Generales-Titular del credito</t>
  </si>
  <si>
    <t>Pago Caja Arequipa</t>
  </si>
  <si>
    <t>Santander Credito Vehicular</t>
  </si>
  <si>
    <t>Pago Credito Vehicular</t>
  </si>
  <si>
    <t>Barrieentos Guerrero Julissa / movistar</t>
  </si>
  <si>
    <t>Pago Movistar</t>
  </si>
  <si>
    <t>Pago Nexus</t>
  </si>
  <si>
    <t>Lp Flex Dolares</t>
  </si>
  <si>
    <t>Poliza de respnsabilidad Civil</t>
  </si>
  <si>
    <t>Pgo Ft F038-212550 La Positiva Seguros</t>
  </si>
  <si>
    <t>Pago postes Aral Corp</t>
  </si>
  <si>
    <t>Seguridad industrial Luciana E.</t>
  </si>
  <si>
    <t>Respiradores  filtros</t>
  </si>
  <si>
    <t>Pago Sctr</t>
  </si>
  <si>
    <t>SCTR</t>
  </si>
  <si>
    <t>ITEM</t>
  </si>
  <si>
    <t>DESCRIPCION</t>
  </si>
  <si>
    <t>PROVEEDOR</t>
  </si>
  <si>
    <t>IMPORTE MN</t>
  </si>
  <si>
    <t>IMPORTE ME</t>
  </si>
  <si>
    <t>BANCO</t>
  </si>
  <si>
    <t>COMISION</t>
  </si>
  <si>
    <t>OBSERVACION</t>
  </si>
  <si>
    <t>A CUENTA ANIXTER</t>
  </si>
  <si>
    <t>ANIXTER PERU SAC</t>
  </si>
  <si>
    <t>BCP ME</t>
  </si>
  <si>
    <t>PAGO FT F003-43610</t>
  </si>
  <si>
    <t>OK</t>
  </si>
  <si>
    <t>A CUENTA FERAL</t>
  </si>
  <si>
    <t xml:space="preserve">FERAL INGENIEROS </t>
  </si>
  <si>
    <t>BCP MN</t>
  </si>
  <si>
    <t>PAGO ADELANTO FTE001-71</t>
  </si>
  <si>
    <t>ABONO ELECTROMECANICA</t>
  </si>
  <si>
    <t>ELECTROMECANICA EL DETALLE SRL</t>
  </si>
  <si>
    <t>PAGO FT F001-21842</t>
  </si>
  <si>
    <t>TRANSFERENCIA ENTRE CUENTAS INTERBANK</t>
  </si>
  <si>
    <t>ENTRE CUENTAS</t>
  </si>
  <si>
    <t>ADELANTO ARAL CORP POSTES</t>
  </si>
  <si>
    <t>ARAL CORP</t>
  </si>
  <si>
    <t>PENDIENTE FACTURA</t>
  </si>
  <si>
    <t>ADELANTO RAL COMUNICACIONES</t>
  </si>
  <si>
    <t>RAL COMUNICACIONES S</t>
  </si>
  <si>
    <t>ADELANTO FT E001-473 EMITIDA EN JULIO</t>
  </si>
  <si>
    <t>ADELANTO TRABAJOS DE ADECUACION OFICINA MIRAFLORES</t>
  </si>
  <si>
    <t>BARRIENTOS ROJAS JUAN</t>
  </si>
  <si>
    <t>AAS &amp; MA SERVICIOS GENERALES-RETROEXCAVADORA</t>
  </si>
  <si>
    <t>AS &amp; MA SERVICIOS GENERALES</t>
  </si>
  <si>
    <t>INTERBANK</t>
  </si>
  <si>
    <t>PAGO FTE001-11</t>
  </si>
  <si>
    <t>CREDOL CAJA AREQUIPA</t>
  </si>
  <si>
    <t>PRESTAMO?</t>
  </si>
  <si>
    <t>PRESTAMO CAJA AREQUIPA/ PENDIENTE CRONOGRAMA</t>
  </si>
  <si>
    <t>CAJA CHICA 25.06</t>
  </si>
  <si>
    <t xml:space="preserve">GARCIA HUAMAN KAREN </t>
  </si>
  <si>
    <t>CAJA CHICA COMBUSTIBLE 6005</t>
  </si>
  <si>
    <t>CAJA CHICA COMBUSTIBLE 05.06.2024</t>
  </si>
  <si>
    <t>CAJA CHICA</t>
  </si>
  <si>
    <t>CAJA CHICA COMBUSTIBLE 12.06.2024</t>
  </si>
  <si>
    <t>CAJA CHICA SHP COMBUSTIBLE 6003</t>
  </si>
  <si>
    <t>CAJA CHICA COMBUSTIBLE 19.06.2024</t>
  </si>
  <si>
    <t>CAJA CHICA COMBUSTIBLE 6004</t>
  </si>
  <si>
    <t>CAJA CHICA 10.06</t>
  </si>
  <si>
    <t>VALDIVIEZO MADRID GLADYS VANESA</t>
  </si>
  <si>
    <t>CAJA CHICA 19.06</t>
  </si>
  <si>
    <t>CAJA CHICA 24.06</t>
  </si>
  <si>
    <t>CAJA CHICA MARCONA 11.06</t>
  </si>
  <si>
    <t>CAJA CHICA SHP 6001</t>
  </si>
  <si>
    <t>CAMIONETA GIANCARLO LAURA</t>
  </si>
  <si>
    <t>LAURA VILCARIMAC GIANCARLO</t>
  </si>
  <si>
    <t>CASA MARCONA 2/COBRADO A TC.3.7100 $1274.88</t>
  </si>
  <si>
    <t>JULIO ESCOBAR F.</t>
  </si>
  <si>
    <t>CASA MAYO 2</t>
  </si>
  <si>
    <t>CULI GABRIEL FLOR VIOLETA</t>
  </si>
  <si>
    <t>ALQUILER MARCONA</t>
  </si>
  <si>
    <t>CASA MAYO 3</t>
  </si>
  <si>
    <t>CULI GABRIE LUIS DANIEL</t>
  </si>
  <si>
    <t>CASA MAYO 4</t>
  </si>
  <si>
    <t>CULI GRABIEL WILLIAM WILBER</t>
  </si>
  <si>
    <t>CASA MAYO 1</t>
  </si>
  <si>
    <t>CULI GABRIEL JESUS ANGEL</t>
  </si>
  <si>
    <t>CASA MES MAYO</t>
  </si>
  <si>
    <t>CULI QUISPE J.</t>
  </si>
  <si>
    <t>COMPRAS MATERIAL MARCONA</t>
  </si>
  <si>
    <t>DIELECTRIC PERU S.</t>
  </si>
  <si>
    <t xml:space="preserve">COMPRA TORNILLOS Y TARUGOS </t>
  </si>
  <si>
    <t>DISTRIBUIDORA ARNOL &amp; ALEXIS E</t>
  </si>
  <si>
    <t>PAGO FT FPP1-21259</t>
  </si>
  <si>
    <t xml:space="preserve">CONCESIONARIA CARBON </t>
  </si>
  <si>
    <t>CONCESIONARIA DE ALIMENTOS 3 DE CARBON Y.</t>
  </si>
  <si>
    <t>PAGO ADELANTO FT E001-26</t>
  </si>
  <si>
    <t>DEVOLUCION A ITATEL FONDO DE GARANTIA</t>
  </si>
  <si>
    <t>ITATEL PERU SAC</t>
  </si>
  <si>
    <t>DEVOLUCION DE CAJAS CHICAS</t>
  </si>
  <si>
    <t>SERNAQUE ORLANDINI KARLA M.</t>
  </si>
  <si>
    <t>DEVOLUCION DISPOCISION EFECTIVO JAICO</t>
  </si>
  <si>
    <t>JORGE EDWARDS JAICO M.</t>
  </si>
  <si>
    <t>ELECTROMECANICA</t>
  </si>
  <si>
    <t>PAGO FT F001-21731</t>
  </si>
  <si>
    <t>EMO PERSONAL FIBRA OPTICA</t>
  </si>
  <si>
    <t>MEDICOS SALUD UNION EN ALERTA S.</t>
  </si>
  <si>
    <t>PAGO FT F001-20827</t>
  </si>
  <si>
    <t>EMO PERSONAL FO</t>
  </si>
  <si>
    <t>PAGO FT F001-20829</t>
  </si>
  <si>
    <t>FERRETERIA CENTRAL 19.06</t>
  </si>
  <si>
    <t>FERRETERIA C.</t>
  </si>
  <si>
    <t>FERRETERIA CENTRAL</t>
  </si>
  <si>
    <t>PAGO FT F001-1735</t>
  </si>
  <si>
    <t xml:space="preserve">FLETE ENVIO MATERIAL MARCONA </t>
  </si>
  <si>
    <t>BRUNO MARLON FLOREZ C.</t>
  </si>
  <si>
    <t>FLETE POSTES</t>
  </si>
  <si>
    <t>PENDIENTE FACTURA POR FLETE</t>
  </si>
  <si>
    <t>HAYEX TECHNOLOGY SAC</t>
  </si>
  <si>
    <t>PAGO FTF001-25944</t>
  </si>
  <si>
    <t>MOVISTAR CUENTA FINANCIERA 743272965</t>
  </si>
  <si>
    <t>MOVISTAR TELEFONICA</t>
  </si>
  <si>
    <t>CONSULTAR JULISSA</t>
  </si>
  <si>
    <t>MOVISTAR CUENTA FINANCIERA 737499046</t>
  </si>
  <si>
    <t>MOVISTAR CUENTA FINANCIERA 74266340</t>
  </si>
  <si>
    <t>MOVISTAR CUENTA FINANCIERA 739171016</t>
  </si>
  <si>
    <t>PAGO RC S9AA-56099976</t>
  </si>
  <si>
    <t>MOVISTAR CUENTA FINANCIERA 746377534</t>
  </si>
  <si>
    <t>MAKANI</t>
  </si>
  <si>
    <t>MEKANI-K MOTORS S.</t>
  </si>
  <si>
    <t>CONFIRMAR FACTURA</t>
  </si>
  <si>
    <t xml:space="preserve">CONCESIONARIO PUERTO </t>
  </si>
  <si>
    <t>CONCESIONARIO PUERTO SAN JUAN,</t>
  </si>
  <si>
    <t>PAGO FT E001-390</t>
  </si>
  <si>
    <t>RAMOS PENA ANDREA M.</t>
  </si>
  <si>
    <t>PAGO FT E001-14</t>
  </si>
  <si>
    <t>SOLUCIONES ELECTRO</t>
  </si>
  <si>
    <t>SOLUCIONES ELECTREOMECANICAS KALU S.</t>
  </si>
  <si>
    <t xml:space="preserve">PAGO FT E001-168 </t>
  </si>
  <si>
    <t>ROJAS GARCIA</t>
  </si>
  <si>
    <t>ROGAS GARCIA RONALD G.</t>
  </si>
  <si>
    <t>PAGO ALQUILER MARCONA</t>
  </si>
  <si>
    <t>CONSTRUCTORES CARPIO</t>
  </si>
  <si>
    <t xml:space="preserve">CULI GABRIEL WILLIAM WILBER </t>
  </si>
  <si>
    <t>CULI GABRIEL LUIS DANIEL</t>
  </si>
  <si>
    <t>FERAL</t>
  </si>
  <si>
    <t>FERAL INGENIEROS S.</t>
  </si>
  <si>
    <t>AS &amp; MA</t>
  </si>
  <si>
    <t xml:space="preserve">AS &amp; MA SERVICIOS GENERALES </t>
  </si>
  <si>
    <t>SOTO</t>
  </si>
  <si>
    <t>SOTO SHUPINGAHUA MARINO HERNAN</t>
  </si>
  <si>
    <t>CULI</t>
  </si>
  <si>
    <t xml:space="preserve">CULI GABRIEL FLOR VIOLETA </t>
  </si>
  <si>
    <t>LENIN</t>
  </si>
  <si>
    <t>VARGAS FUENTES LENIN A.</t>
  </si>
  <si>
    <t>PAGO RHE001-2</t>
  </si>
  <si>
    <t>LENIN PARIBAS</t>
  </si>
  <si>
    <t>LIQUIDACION BENEFICIOS SOCIALES CALDAS</t>
  </si>
  <si>
    <t>CALDAS VARA JORGE</t>
  </si>
  <si>
    <t>LIQ.BENEF.CALDAS VARA</t>
  </si>
  <si>
    <t>LIQUIDACION BENEFICIOS SOCIALES COMECA</t>
  </si>
  <si>
    <t>COMECA OCHOA JOSE</t>
  </si>
  <si>
    <t>LIQ.BENEF.COMECA OCHOA</t>
  </si>
  <si>
    <t>LIQUIDACION DARWIN BELLIDO</t>
  </si>
  <si>
    <t>DARWIN RODERICH BELLIDO Q.</t>
  </si>
  <si>
    <t>LIQ.BENEF.DARWIN BELLIDO</t>
  </si>
  <si>
    <t>LIQIDACION NAVARRO</t>
  </si>
  <si>
    <t>NAVARRO CASTRO IVAN</t>
  </si>
  <si>
    <t>LIQ.BENEF.NAVARRO IVAN</t>
  </si>
  <si>
    <t>LIQUIDACION KARLA SERNAQUE</t>
  </si>
  <si>
    <t>LIQ.BENEF.SERNAQUE KARLA/POR CONFIRMAR</t>
  </si>
  <si>
    <t>LIQUIDACION MARCO BRAVO</t>
  </si>
  <si>
    <t>BRAVO MARILUZ MARCO VINCHESTO</t>
  </si>
  <si>
    <t>LIQ.BENEF.BRAVO MARCO</t>
  </si>
  <si>
    <t>LIQUIDACION MAX VELLENA</t>
  </si>
  <si>
    <t>VILLENA MUNOA MAX</t>
  </si>
  <si>
    <t>LIQ.BENEF.VILLENA MUNOA</t>
  </si>
  <si>
    <t xml:space="preserve">LIQUIDACION NOREYKA </t>
  </si>
  <si>
    <t>VILLANUEVA PEDRAZA NOREYKA</t>
  </si>
  <si>
    <t>LIQ.BENEF.NOREYKA</t>
  </si>
  <si>
    <t>LIQUIDACION PASACHE</t>
  </si>
  <si>
    <t>PASACHE QUISPE FELIX</t>
  </si>
  <si>
    <t>LIQ.BENEF.PASACHE FELIX</t>
  </si>
  <si>
    <t>MANOS REMOTAS TRUJILLO</t>
  </si>
  <si>
    <t>SILVA CUMPLIDO ROSA ELIZABETH</t>
  </si>
  <si>
    <t>PAGO RHE001-39</t>
  </si>
  <si>
    <t>MINIVAN ANDREA RAMOS</t>
  </si>
  <si>
    <t>MOVISTAR CUENTA FINANCIERA 735978447</t>
  </si>
  <si>
    <t>MOVISTAR CUENTA FINANCIERA 740035023</t>
  </si>
  <si>
    <t>MOVISTAR CUENTA FINANCIERA 740044737</t>
  </si>
  <si>
    <r>
      <t xml:space="preserve">MOVISTAR CUENTA FINANCIERA 740445899 </t>
    </r>
    <r>
      <rPr>
        <u/>
        <sz val="11"/>
        <color theme="1"/>
        <rFont val="Calibri"/>
        <family val="2"/>
        <scheme val="minor"/>
      </rPr>
      <t>ME 339.09</t>
    </r>
  </si>
  <si>
    <t>BCP MN-ME</t>
  </si>
  <si>
    <t>MOVISTAR CUENTA FINANCIERA 740637350</t>
  </si>
  <si>
    <t>MOVISTAR CUENTA FINANCIERA 742224031</t>
  </si>
  <si>
    <t>MOVISTAR CUENTA FINANCIERA 742902294</t>
  </si>
  <si>
    <r>
      <t xml:space="preserve">MOVISTAR CUENTA FINANCIERA 744108468 </t>
    </r>
    <r>
      <rPr>
        <u/>
        <sz val="11"/>
        <color theme="1"/>
        <rFont val="Calibri"/>
        <family val="2"/>
        <scheme val="minor"/>
      </rPr>
      <t>ME 296.73</t>
    </r>
  </si>
  <si>
    <t>MOVISTAR CUENTA FINANCIERA 745627322</t>
  </si>
  <si>
    <t>MOVISTAR CUENTA FINANCIERA 745628973</t>
  </si>
  <si>
    <t>MOVISTAR CUENTA FINANCIERA 745637266</t>
  </si>
  <si>
    <t>MOVISTAR CUENTA FINANCIERA 745667924</t>
  </si>
  <si>
    <t>MOVISTAR CUENTA FINANCIERA 746378404</t>
  </si>
  <si>
    <t>NEXUS</t>
  </si>
  <si>
    <t>NEXUS TECHNOLOGY S.</t>
  </si>
  <si>
    <t>PAGO FT F020-4927</t>
  </si>
  <si>
    <t>PAGO ANIXTER</t>
  </si>
  <si>
    <t>PAGO ETENCIONES AREQUIPA</t>
  </si>
  <si>
    <t>ESQUIVEL YANQUE MIGUEL</t>
  </si>
  <si>
    <t>PAGO RH E001-6</t>
  </si>
  <si>
    <t>PAGO BONO PROVINCIA</t>
  </si>
  <si>
    <t>PAGO CAMION GRUA SOLUCIONES</t>
  </si>
  <si>
    <t>PAGO FT E001-167</t>
  </si>
  <si>
    <t>PAGO CAMIONETA MAZDA</t>
  </si>
  <si>
    <t>ATOCSA CORDOVA JOSE ABRAHAM</t>
  </si>
  <si>
    <t>PAGO FT E001-3</t>
  </si>
  <si>
    <t>PAGO COMPRA HERRAMIENTAS</t>
  </si>
  <si>
    <t>PAGO FLETE MATERIAL BANDEJAS</t>
  </si>
  <si>
    <t>ORTIZ CASTILLO JAIME R.</t>
  </si>
  <si>
    <t>PAGO MANOS REMOTAS LIMA</t>
  </si>
  <si>
    <t>MIRANDA HUAMANI LUCIANA RAFAELA</t>
  </si>
  <si>
    <t>PAGO RH E001-9/RECIBO POR S/1140</t>
  </si>
  <si>
    <t>PAGO MINIVAN KIARA ESPINOZA MENDOZA</t>
  </si>
  <si>
    <t>ESPINOZA MENDOZA KIARA LUCERO</t>
  </si>
  <si>
    <t>PAGO FTE001-14</t>
  </si>
  <si>
    <t>MOVISTAR CUENTA FINANCIERA 736531498</t>
  </si>
  <si>
    <t>PAGO SALDO EPPS</t>
  </si>
  <si>
    <t>VIXON GROUP S.A.C</t>
  </si>
  <si>
    <t>PAGO FT E001-196</t>
  </si>
  <si>
    <t>PAGO SERVICIOS JAICORP / 732.03 ME</t>
  </si>
  <si>
    <t>JAICOS CORP S.</t>
  </si>
  <si>
    <t>BCP MN ME</t>
  </si>
  <si>
    <t xml:space="preserve">PAGO TC ANIXTER </t>
  </si>
  <si>
    <t>PAGO TC FACTURA CAMIONETA</t>
  </si>
  <si>
    <t>JORGE EDWARDS JAICO MEDINA</t>
  </si>
  <si>
    <t>PAGO TELECOM FIBRA</t>
  </si>
  <si>
    <t>TELECOM FIBRA TORRES Y ENERGIA SOCIED</t>
  </si>
  <si>
    <t>POLIZA RC</t>
  </si>
  <si>
    <t xml:space="preserve">LA POSITIVA SEGUROS Y REASEGUROS </t>
  </si>
  <si>
    <t>PAGO FT F221-43613</t>
  </si>
  <si>
    <t>QUINCENA VANESA VALDIVIEZO</t>
  </si>
  <si>
    <t>ADELANTO SUELDO JUNIO 2024</t>
  </si>
  <si>
    <t>REPOSICION CAJA CHICA LIMA MAYO</t>
  </si>
  <si>
    <t>REPOSICION CAJA LIMA</t>
  </si>
  <si>
    <t>ROTOMARTILLO</t>
  </si>
  <si>
    <t>FERAL IGENIEROS</t>
  </si>
  <si>
    <t>PAGO FT E001-66</t>
  </si>
  <si>
    <t>SALDO ANIXTER</t>
  </si>
  <si>
    <t xml:space="preserve">SALDO ELECTROMECANICA </t>
  </si>
  <si>
    <t>SALDO NEXUS</t>
  </si>
  <si>
    <t xml:space="preserve">TC JORGE JAICO PAGO ANIXTER </t>
  </si>
  <si>
    <t>ALAN CCANCCE QUISPE</t>
  </si>
  <si>
    <t xml:space="preserve">CCANCCE QUISPE ALAN DAVID </t>
  </si>
  <si>
    <t>PAGO PLANILLA JUNIO 2024</t>
  </si>
  <si>
    <t>ALBERTO AQUINO PARIBAS</t>
  </si>
  <si>
    <t>ALBERTO AQUINO C.</t>
  </si>
  <si>
    <t>FLOREZ CABRERA BRUNO</t>
  </si>
  <si>
    <t>FLOREZ CABRERA BRUNO MARLON</t>
  </si>
  <si>
    <t>CAJA CHICA COMBUSTIBLE 30.06.2024</t>
  </si>
  <si>
    <t>CAJA CHICA COMBUSTIBLE</t>
  </si>
  <si>
    <t>CARLOS RODRIGUEZ MALLQUI</t>
  </si>
  <si>
    <t>RODRIGUEZ MALLQUI CARLOS</t>
  </si>
  <si>
    <t>CESAR PRADO AYQUIPA</t>
  </si>
  <si>
    <t>CESAR HARRISON PRADO A.</t>
  </si>
  <si>
    <t>CRISTHIAN DAMIAN PAZ</t>
  </si>
  <si>
    <t>DAMIAN PAZ CRISTHIAN GABRIEL</t>
  </si>
  <si>
    <t>DANIEL JIRON GUERRERO</t>
  </si>
  <si>
    <t>JIRON GUERRERO DANIEL EDGARDO</t>
  </si>
  <si>
    <t>DEPOSITO ENTRE CUENTAS</t>
  </si>
  <si>
    <t>DEPOSITO ENTRE CUENTAS INTERBANK</t>
  </si>
  <si>
    <t>TRANSFERENCIA ENTRE CUENTAS</t>
  </si>
  <si>
    <t>DISTRIBUIDORA ARNOLD</t>
  </si>
  <si>
    <t xml:space="preserve">DISTRIBUIDORA ARNOLD $ ALEXIS </t>
  </si>
  <si>
    <t>PAGO FT FPP-21666</t>
  </si>
  <si>
    <t>EDGAR MELENDEZ CHINGA</t>
  </si>
  <si>
    <t>MELENDEZ CHINGA EDGAR E.</t>
  </si>
  <si>
    <t>AQUINO GUERRERO</t>
  </si>
  <si>
    <t>AQUINO GUERRERO ELDRIDGE ISAIAS</t>
  </si>
  <si>
    <t>EMANUEL GALVEZ ROJAS</t>
  </si>
  <si>
    <t>GALVEZ ROJAS EMANUEL</t>
  </si>
  <si>
    <t>GLADYS VANESA</t>
  </si>
  <si>
    <t>GUSTAVO ARAUJO</t>
  </si>
  <si>
    <t xml:space="preserve">CAHUAPAS ARAUJO GUSTAVO WILMER </t>
  </si>
  <si>
    <t>PAGO RH E001-56</t>
  </si>
  <si>
    <t xml:space="preserve">HERMOGENES </t>
  </si>
  <si>
    <t>HERMOGENES UNTIVEROS C.</t>
  </si>
  <si>
    <t>FLORES</t>
  </si>
  <si>
    <t>FLORES ALVA KAREN</t>
  </si>
  <si>
    <t>PAGO RH E001-16</t>
  </si>
  <si>
    <t>ARONI ISAAC</t>
  </si>
  <si>
    <t>ARONI CCANCCE ISAAC</t>
  </si>
  <si>
    <t>ISELA VARGAS</t>
  </si>
  <si>
    <t>ISELA ZARELA VARGAS</t>
  </si>
  <si>
    <t>JAICOS CORP</t>
  </si>
  <si>
    <t>JESUS CASTILLO</t>
  </si>
  <si>
    <t>JESUS SALATIEL CASTILLO H.</t>
  </si>
  <si>
    <t>QUISPE SURCO</t>
  </si>
  <si>
    <t>QUISPE SURCO JONATHAN S.</t>
  </si>
  <si>
    <t>JORGE MIYAKE</t>
  </si>
  <si>
    <t>MIYAKE CARBAJAL J.</t>
  </si>
  <si>
    <t>PAGO ALQUILER/CONFIRMAR CONTRATO ALQUILER</t>
  </si>
  <si>
    <t>JOSE ALCANTARA</t>
  </si>
  <si>
    <t>ALCANTARA NUNEZ JOSE</t>
  </si>
  <si>
    <t>JSOE ARNGO</t>
  </si>
  <si>
    <t>VASQUEZ ARANGO JOSE EDUARDO</t>
  </si>
  <si>
    <t>JUAN AGUIRRE</t>
  </si>
  <si>
    <t>CUNAIQUE AGUIRRE JUAN ALEXANDER</t>
  </si>
  <si>
    <t>JUAN MOLERO</t>
  </si>
  <si>
    <t>MOLERO PEREYRA JUAN E.</t>
  </si>
  <si>
    <t>JUNIOR CHIMOY</t>
  </si>
  <si>
    <t>CHIMOY ASENJO JUNIOR</t>
  </si>
  <si>
    <t>KAREN FLORES</t>
  </si>
  <si>
    <t>FLORES ALVA KAREN ALEXANDRA</t>
  </si>
  <si>
    <t>PAGO RH E001-17</t>
  </si>
  <si>
    <t>LEONARDO HERNANDEZ</t>
  </si>
  <si>
    <t>HERNANDEZ PEREZ LEONARDO</t>
  </si>
  <si>
    <t>LINDER GARCIA</t>
  </si>
  <si>
    <t xml:space="preserve">GARCIA RAMIREZ LINDER </t>
  </si>
  <si>
    <t>LUIS HUACAHACA</t>
  </si>
  <si>
    <t>HUACHACA AGUILAR LUIS</t>
  </si>
  <si>
    <t>LUIS OJEDA</t>
  </si>
  <si>
    <t>OJEDA BRAVO LUIS SAMUE</t>
  </si>
  <si>
    <t>MIGUEL MENDOZA</t>
  </si>
  <si>
    <t>FERNANDEZ MENDOZA MIGUEL</t>
  </si>
  <si>
    <t>MIGUEL PORTILLO</t>
  </si>
  <si>
    <t>HUAMANI PORTILLO M.</t>
  </si>
  <si>
    <t>PAGO FLETE ENVIO ANEXTER</t>
  </si>
  <si>
    <t>PAGO MATERIAL CABLEADO</t>
  </si>
  <si>
    <t>PAGO FT FPP1-21640</t>
  </si>
  <si>
    <t>PAGOS VARIOS</t>
  </si>
  <si>
    <t>PAUL GONZALES ESCUDERO</t>
  </si>
  <si>
    <t>GONZALES ESCUDERO PAUL</t>
  </si>
  <si>
    <t>PEDRO SAAVEDRA</t>
  </si>
  <si>
    <t>PEDRO EDISON SAAVEDRA Q.</t>
  </si>
  <si>
    <t xml:space="preserve">RICARDO BALBARO </t>
  </si>
  <si>
    <t>BALBARO SALVADOR ELMER RICARDO</t>
  </si>
  <si>
    <t>RICHAR RODRIGUEZ</t>
  </si>
  <si>
    <t>RICHAR DENIS RODRIGUEZ</t>
  </si>
  <si>
    <t>ROCIO MONTAÑEZ</t>
  </si>
  <si>
    <t>ROCIO LORENA MONTAÑEZ</t>
  </si>
  <si>
    <t>RONY ABANTO SOLIS</t>
  </si>
  <si>
    <t>ABANTO SOLIS RONY</t>
  </si>
  <si>
    <t>TECHNO VED</t>
  </si>
  <si>
    <t>TECHNO VED S.</t>
  </si>
  <si>
    <t>PAGO FT E001-75</t>
  </si>
  <si>
    <t>TELECOM FIBRA 26.006</t>
  </si>
  <si>
    <t>PAGO FT E001-359</t>
  </si>
  <si>
    <t>TELECOM FIBRA TORRES</t>
  </si>
  <si>
    <t>YUNENEA VALDIVIEZO RH JORGE MIYAKE</t>
  </si>
  <si>
    <t>VALDIVIEZO LEON YUNENA</t>
  </si>
  <si>
    <t xml:space="preserve">YUSARI GALVEZ </t>
  </si>
  <si>
    <t>GALVEZ ROJAS YUSARI</t>
  </si>
  <si>
    <t>NUM OP</t>
  </si>
  <si>
    <t xml:space="preserve">OBSERVACIÓN </t>
  </si>
  <si>
    <t># DOCUMENTO</t>
  </si>
  <si>
    <t xml:space="preserve"> </t>
  </si>
  <si>
    <t>TOTAL + COMISION</t>
  </si>
  <si>
    <t>TECHNO VED/PAGO FT E001-57</t>
  </si>
  <si>
    <t>JAICO MEDINA ROBERT</t>
  </si>
  <si>
    <t>SERVICIO OPSITEL / ABONO ROBRT JAICO RXH E001-13</t>
  </si>
  <si>
    <t>GLADYS VANESA VALDIVIEZO</t>
  </si>
  <si>
    <t>CAJA CHICA 02.01.24</t>
  </si>
  <si>
    <t>ABONO GIANCARLO -CAMIONETAS</t>
  </si>
  <si>
    <t>PENDIENTE  CONFIRMAR FACTURA</t>
  </si>
  <si>
    <t>CAJA CHICA 05.01.24</t>
  </si>
  <si>
    <t>ZAVALETA REYES PAUL E.</t>
  </si>
  <si>
    <t>PAGO DETRACCIONES / PAUL ZAVALETA</t>
  </si>
  <si>
    <t>CAJA CHICA 08.01.24</t>
  </si>
  <si>
    <t>CAJA CHICA 10.01.24</t>
  </si>
  <si>
    <t>LES SOLUTION S</t>
  </si>
  <si>
    <t>CARTUCHOS PARA ETIQUETADORA</t>
  </si>
  <si>
    <t>PAGO FT956</t>
  </si>
  <si>
    <t>MIRANDA HUAMANI LUIS F.</t>
  </si>
  <si>
    <t>COMPRA ESCALERAS</t>
  </si>
  <si>
    <t>PENDIENTE CONFIRMAR FACTURA</t>
  </si>
  <si>
    <t>COMPRA ETIQUEDORAS</t>
  </si>
  <si>
    <t>PAGO FT954</t>
  </si>
  <si>
    <t>CAJA CHICA 11.01.24</t>
  </si>
  <si>
    <t>FERREINDUSTRIAS BARRANTES E.</t>
  </si>
  <si>
    <t>FERREINDUSTRIAS PAGO FTE001-1655</t>
  </si>
  <si>
    <t>GESEMA TECNOLOGIA INDUSTRIAL E.</t>
  </si>
  <si>
    <t>CERT.ALTURA/PAGO FTE001-115</t>
  </si>
  <si>
    <t>CORPORACION G S LEOPARDO S.</t>
  </si>
  <si>
    <t>COMPRA ZAPATOS/PAGO FT E001-8</t>
  </si>
  <si>
    <t>CREACIOONES FAYOL S.</t>
  </si>
  <si>
    <t>COFECCION EPPS/PAGO FT E001-491</t>
  </si>
  <si>
    <t>CAJA CHICA VANESA</t>
  </si>
  <si>
    <t>CAJA CHICA 13.01.24</t>
  </si>
  <si>
    <t>CAJA CHICA SHP 16.01</t>
  </si>
  <si>
    <t>ALQUILER CAMIONETA 50% 16.01</t>
  </si>
  <si>
    <t>FIESTAS VALDIVIEZO JORGE L.</t>
  </si>
  <si>
    <t>QUINCENA JORGE LUIS FIESTAS / PAGO RH E001-9</t>
  </si>
  <si>
    <t>QUINCENA VANESA VALDIVIEZO M./ADELANTO DE SUELDO/PLANILLA</t>
  </si>
  <si>
    <t>DE LA CRUZ CORDERO ANGIE S.</t>
  </si>
  <si>
    <t>SUELDO ANGIE CORDERO / ADELANTO SUELDO 15NA</t>
  </si>
  <si>
    <t>MOVISTAR-TELEFONICA</t>
  </si>
  <si>
    <t>ABONO MOVISTAR 18.01</t>
  </si>
  <si>
    <t>AIC SERVICIOS GENERALES E</t>
  </si>
  <si>
    <t>MOVISTAR 19.01 / SERVICIOS MOVISTAR</t>
  </si>
  <si>
    <t>CAJA CHICA 20.01.24</t>
  </si>
  <si>
    <t>SALDO DE COFECCION EPPS /PAGO FT E001-491</t>
  </si>
  <si>
    <t>CAJA CHICA SHP 22.01</t>
  </si>
  <si>
    <t>LES SOLUTION</t>
  </si>
  <si>
    <t>PAGO FT986</t>
  </si>
  <si>
    <t xml:space="preserve">SALVATIERRA VEL A DANNY </t>
  </si>
  <si>
    <t>ADELNATO DANNY SALVATIERRA / PAGO RH E001-5</t>
  </si>
  <si>
    <t>JAICO MEDINA JORGE E.</t>
  </si>
  <si>
    <t>REEMBOLSO GASTOS DE REPRESENTACION</t>
  </si>
  <si>
    <t>REEMBOLSO GASTOS DE REPRESENTACION1</t>
  </si>
  <si>
    <t>REPOSICION CAJA CHICA SHP 22.01</t>
  </si>
  <si>
    <t>SALDO ZAPATOS INDUSTRIALES/PAGO FT E001-8</t>
  </si>
  <si>
    <t>CAJA CHICA LIMA 24.01</t>
  </si>
  <si>
    <t>JAIME RICARDO ORTIZ C.</t>
  </si>
  <si>
    <t>ADELANTO JAIME</t>
  </si>
  <si>
    <t>WILLIAM WILBER CULI G.</t>
  </si>
  <si>
    <t>ALQUILER CASA MARCONA</t>
  </si>
  <si>
    <t>COMPRA FRIGOBAR</t>
  </si>
  <si>
    <t xml:space="preserve">BALCAZAR ROMERO LUIS </t>
  </si>
  <si>
    <t>PAGO LUIS BALCAZAR / PAGO RH E001-37</t>
  </si>
  <si>
    <t>CAJA CHICA 29.01 SHP</t>
  </si>
  <si>
    <t>REPOSICION CAJA CHICA SHP 29.01</t>
  </si>
  <si>
    <t>SANCHES LOPEZ R.</t>
  </si>
  <si>
    <t>ABONO LOPEZ SANCHEZ</t>
  </si>
  <si>
    <t>CONCESIONARIO PUERTO S.</t>
  </si>
  <si>
    <t>CONCESIONARIA ALIMENTOS/PAGO FT E001-244</t>
  </si>
  <si>
    <t>ALQUILER CAMIONETA 100% 30.01</t>
  </si>
  <si>
    <t>ABARCA SANTOS ALAIN</t>
  </si>
  <si>
    <t>MANO REMOTA CUSCO/PAGO RH E001-11</t>
  </si>
  <si>
    <t>BANCO INTERBANK MN</t>
  </si>
  <si>
    <t>DARWIN BELLIDO/PLANILLA ENERO 2024</t>
  </si>
  <si>
    <t>JOSE EDUARDO VASQUEZ A.</t>
  </si>
  <si>
    <t>EDUARDO VASQUEZ/PLANILLA ENERO 2024</t>
  </si>
  <si>
    <t>FAC EDUARDO VASQUEZ/PAGO FT E001-127</t>
  </si>
  <si>
    <t>CAHUAPAS ARAUJO GUSTAVO</t>
  </si>
  <si>
    <t>GUSTAVO CAHUAPAS/PAGO RH E001-50</t>
  </si>
  <si>
    <t>HERMOGENES/PLANILLA ENERO 2024</t>
  </si>
  <si>
    <t>PLANILLA HUAMANI PORTILLO/PLANILLA ENERO 2024</t>
  </si>
  <si>
    <t>JAICO CORP</t>
  </si>
  <si>
    <t>PAGO RH KARLA SERNAQUE</t>
  </si>
  <si>
    <t>PAGO RH MARCO BRAVO/JAICOS CORP</t>
  </si>
  <si>
    <t>PAGO RH KAREN / JAICOS CORP</t>
  </si>
  <si>
    <t>JAICO HUAROTO A.</t>
  </si>
  <si>
    <t>JAICO HUAROTO / PLANILLA ENERO 2024</t>
  </si>
  <si>
    <t>JAICO MEDINA/PLANILLA ENERO 2024</t>
  </si>
  <si>
    <t>CALDAS VARA JORGE L.</t>
  </si>
  <si>
    <t>JORGE CALDAS/PLANILLA ENERO 2024</t>
  </si>
  <si>
    <t>JORGE FIESTAS RH/PAGO RH E001-9</t>
  </si>
  <si>
    <t>JAICO RETAMOZO JORGE L.</t>
  </si>
  <si>
    <t>JOJRGE JAICO RETAMOZO/PLANILLA ENERO 2024</t>
  </si>
  <si>
    <t>JORGE JAICO SUELDO / FACT JJ</t>
  </si>
  <si>
    <t>KARLA SERNAQUE / SUELDO ENERO 2024</t>
  </si>
  <si>
    <t>LEONEL EMILIO ESCOBAR Y.</t>
  </si>
  <si>
    <t>LEONEL ESCOBAR / RH E001-36</t>
  </si>
  <si>
    <t>PEREZ SEGURA LUZ M.</t>
  </si>
  <si>
    <t>LUZ PEREZ /RH E001-8</t>
  </si>
  <si>
    <t>MARCOS BICHESTO BRAVO M.</t>
  </si>
  <si>
    <t>MARCOS BRAVO / PLANILLA ENERO 2024</t>
  </si>
  <si>
    <t>MENSUALIDAD ANGIE / PLANILLA ENERO2024</t>
  </si>
  <si>
    <t>MIRANDA HUAMANI/PLANILLA ENERO</t>
  </si>
  <si>
    <t>CHAVEZ FARFAN NARDA S.</t>
  </si>
  <si>
    <t>PAGO SERVICIO BCP / RH E001-115</t>
  </si>
  <si>
    <t>PAUL ZAVALETA/RH E001-148</t>
  </si>
  <si>
    <t xml:space="preserve">JAICOS CORP </t>
  </si>
  <si>
    <t>SALDO JAICO CORP 1% KARLA</t>
  </si>
  <si>
    <t>SALDO PPLANILLA VANESA VALDIVIEZO</t>
  </si>
  <si>
    <t>DIESTRA PASUAL EMILIO D.</t>
  </si>
  <si>
    <t>SERVICIO BCP DIESTRA/ RH E001-540</t>
  </si>
  <si>
    <t>FELICES YUPA CESAR R.</t>
  </si>
  <si>
    <t>SERVICIO BCP RODRGI FELICES / RH E001-16</t>
  </si>
  <si>
    <t>MESA ROJAS L.</t>
  </si>
  <si>
    <t>SERVICIO BCO SAUL PEZA /RH E001-238</t>
  </si>
  <si>
    <t>CAJA CHICA 01/06</t>
  </si>
  <si>
    <t>ESTADO CUENTA {MES} {AÑO}</t>
  </si>
  <si>
    <t>{BANK} {CURRENCY}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</si>
</sst>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 * #,##0_ ;_ * \-#,##0_ ;_ * &quot;-&quot;_ ;_ @_ "/>
    <numFmt numFmtId="166" formatCode="_ * #,##0.00_ ;_ * \-#,##0.00_ ;_ * &quot;-&quot;??_ ;_ @_ "/>
    <numFmt numFmtId="167" formatCode="000000"/>
    <numFmt numFmtId="168" formatCode="dd/mm/yyyy;@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 Unicode MS"/>
      <family val="2"/>
    </font>
    <font>
      <sz val="8"/>
      <color rgb="FF000000"/>
      <name val="Arial Unicode MS"/>
      <family val="2"/>
    </font>
    <font>
      <sz val="8"/>
      <color rgb="FFFF0000"/>
      <name val="Arial Unicode MS"/>
      <family val="2"/>
    </font>
    <font>
      <b/>
      <u/>
      <sz val="8"/>
      <color theme="1"/>
      <name val="Arial Unicode MS"/>
      <family val="2"/>
    </font>
    <font>
      <b/>
      <sz val="8"/>
      <color theme="1"/>
      <name val="Arial Unicode MS"/>
      <family val="2"/>
    </font>
    <font>
      <sz val="8"/>
      <name val="Arial Unicode MS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164" fontId="2" fillId="0" borderId="0" xfId="2" applyNumberFormat="1" applyFont="1" applyFill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" fontId="2" fillId="0" borderId="0" xfId="0" applyNumberFormat="1" applyFont="1"/>
    <xf numFmtId="0" fontId="6" fillId="0" borderId="1" xfId="0" applyFont="1" applyBorder="1" applyAlignment="1">
      <alignment horizontal="center"/>
    </xf>
    <xf numFmtId="164" fontId="6" fillId="0" borderId="1" xfId="2" applyNumberFormat="1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2" fillId="2" borderId="1" xfId="2" applyNumberFormat="1" applyFont="1" applyFill="1" applyBorder="1"/>
    <xf numFmtId="164" fontId="6" fillId="2" borderId="1" xfId="2" applyNumberFormat="1" applyFont="1" applyFill="1" applyBorder="1" applyAlignment="1">
      <alignment horizontal="center"/>
    </xf>
    <xf numFmtId="164" fontId="6" fillId="2" borderId="1" xfId="0" applyNumberFormat="1" applyFont="1" applyFill="1" applyBorder="1"/>
    <xf numFmtId="0" fontId="2" fillId="2" borderId="1" xfId="0" applyFont="1" applyFill="1" applyBorder="1"/>
    <xf numFmtId="0" fontId="2" fillId="2" borderId="0" xfId="0" applyFont="1" applyFill="1"/>
    <xf numFmtId="14" fontId="2" fillId="0" borderId="1" xfId="0" applyNumberFormat="1" applyFont="1" applyBorder="1"/>
    <xf numFmtId="4" fontId="7" fillId="0" borderId="1" xfId="0" applyNumberFormat="1" applyFont="1" applyBorder="1"/>
    <xf numFmtId="164" fontId="7" fillId="0" borderId="1" xfId="2" applyNumberFormat="1" applyFont="1" applyFill="1" applyBorder="1"/>
    <xf numFmtId="164" fontId="2" fillId="0" borderId="1" xfId="0" applyNumberFormat="1" applyFont="1" applyBorder="1"/>
    <xf numFmtId="0" fontId="7" fillId="0" borderId="1" xfId="0" applyFont="1" applyBorder="1"/>
    <xf numFmtId="166" fontId="2" fillId="0" borderId="0" xfId="1" applyFont="1" applyFill="1"/>
    <xf numFmtId="14" fontId="6" fillId="2" borderId="1" xfId="0" applyNumberFormat="1" applyFont="1" applyFill="1" applyBorder="1"/>
    <xf numFmtId="4" fontId="6" fillId="2" borderId="1" xfId="0" applyNumberFormat="1" applyFont="1" applyFill="1" applyBorder="1"/>
    <xf numFmtId="164" fontId="6" fillId="0" borderId="1" xfId="0" applyNumberFormat="1" applyFont="1" applyBorder="1"/>
    <xf numFmtId="0" fontId="6" fillId="2" borderId="1" xfId="0" applyFont="1" applyFill="1" applyBorder="1"/>
    <xf numFmtId="0" fontId="6" fillId="2" borderId="0" xfId="0" applyFont="1" applyFill="1"/>
    <xf numFmtId="164" fontId="2" fillId="0" borderId="0" xfId="0" applyNumberFormat="1" applyFont="1"/>
    <xf numFmtId="0" fontId="3" fillId="2" borderId="0" xfId="0" applyFont="1" applyFill="1" applyAlignment="1">
      <alignment vertical="center"/>
    </xf>
    <xf numFmtId="0" fontId="0" fillId="2" borderId="0" xfId="0" applyFill="1"/>
    <xf numFmtId="0" fontId="5" fillId="2" borderId="0" xfId="0" applyFont="1" applyFill="1"/>
    <xf numFmtId="166" fontId="0" fillId="2" borderId="0" xfId="1" applyFont="1" applyFill="1"/>
    <xf numFmtId="166" fontId="2" fillId="2" borderId="0" xfId="1" applyFont="1" applyFill="1"/>
    <xf numFmtId="166" fontId="6" fillId="0" borderId="1" xfId="1" applyFont="1" applyFill="1" applyBorder="1" applyAlignment="1">
      <alignment horizontal="center"/>
    </xf>
    <xf numFmtId="14" fontId="0" fillId="0" borderId="0" xfId="0" applyNumberFormat="1"/>
    <xf numFmtId="4" fontId="0" fillId="0" borderId="0" xfId="0" applyNumberFormat="1"/>
    <xf numFmtId="14" fontId="0" fillId="3" borderId="0" xfId="0" applyNumberFormat="1" applyFill="1"/>
    <xf numFmtId="0" fontId="0" fillId="3" borderId="0" xfId="0" applyFill="1"/>
    <xf numFmtId="166" fontId="0" fillId="3" borderId="0" xfId="1" applyFont="1" applyFill="1"/>
    <xf numFmtId="166" fontId="0" fillId="3" borderId="0" xfId="0" applyNumberFormat="1" applyFill="1"/>
    <xf numFmtId="166" fontId="0" fillId="0" borderId="0" xfId="1" applyFont="1"/>
    <xf numFmtId="14" fontId="8" fillId="0" borderId="0" xfId="0" applyNumberFormat="1" applyFont="1"/>
    <xf numFmtId="0" fontId="8" fillId="0" borderId="0" xfId="0" applyFont="1"/>
    <xf numFmtId="166" fontId="8" fillId="0" borderId="0" xfId="1" applyFont="1"/>
    <xf numFmtId="166" fontId="8" fillId="0" borderId="0" xfId="0" applyNumberFormat="1" applyFont="1"/>
    <xf numFmtId="164" fontId="6" fillId="2" borderId="1" xfId="0" applyNumberFormat="1" applyFont="1" applyFill="1" applyBorder="1" applyAlignment="1">
      <alignment horizontal="center"/>
    </xf>
    <xf numFmtId="166" fontId="0" fillId="2" borderId="0" xfId="0" applyNumberFormat="1" applyFill="1"/>
    <xf numFmtId="0" fontId="8" fillId="3" borderId="0" xfId="0" applyFont="1" applyFill="1"/>
    <xf numFmtId="166" fontId="6" fillId="2" borderId="1" xfId="1" applyFont="1" applyFill="1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/>
    <xf numFmtId="166" fontId="0" fillId="3" borderId="1" xfId="1" applyFont="1" applyFill="1" applyBorder="1"/>
    <xf numFmtId="0" fontId="9" fillId="4" borderId="1" xfId="0" applyFont="1" applyFill="1" applyBorder="1" applyAlignment="1">
      <alignment horizontal="center"/>
    </xf>
    <xf numFmtId="166" fontId="9" fillId="4" borderId="1" xfId="1" applyFont="1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166" fontId="0" fillId="2" borderId="1" xfId="1" applyFont="1" applyFill="1" applyBorder="1"/>
    <xf numFmtId="166" fontId="0" fillId="5" borderId="1" xfId="1" applyFont="1" applyFill="1" applyBorder="1"/>
    <xf numFmtId="0" fontId="8" fillId="3" borderId="1" xfId="0" applyFont="1" applyFill="1" applyBorder="1"/>
    <xf numFmtId="14" fontId="8" fillId="3" borderId="1" xfId="0" applyNumberFormat="1" applyFont="1" applyFill="1" applyBorder="1"/>
    <xf numFmtId="166" fontId="8" fillId="3" borderId="1" xfId="1" applyFont="1" applyFill="1" applyBorder="1"/>
    <xf numFmtId="166" fontId="8" fillId="3" borderId="0" xfId="1" applyFont="1" applyFill="1"/>
    <xf numFmtId="4" fontId="0" fillId="2" borderId="0" xfId="0" applyNumberFormat="1" applyFill="1"/>
    <xf numFmtId="164" fontId="6" fillId="2" borderId="2" xfId="0" applyNumberFormat="1" applyFont="1" applyFill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left"/>
    </xf>
    <xf numFmtId="166" fontId="0" fillId="0" borderId="0" xfId="0" applyNumberFormat="1"/>
    <xf numFmtId="0" fontId="0" fillId="6" borderId="0" xfId="0" applyFill="1"/>
    <xf numFmtId="0" fontId="14" fillId="6" borderId="0" xfId="0" applyFont="1" applyFill="1"/>
    <xf numFmtId="168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7" fontId="0" fillId="2" borderId="2" xfId="1" quotePrefix="1" applyNumberFormat="1" applyFont="1" applyFill="1" applyBorder="1" applyAlignment="1">
      <alignment horizontal="center"/>
    </xf>
    <xf numFmtId="0" fontId="0" fillId="2" borderId="2" xfId="0" applyFill="1" applyBorder="1"/>
    <xf numFmtId="167" fontId="0" fillId="2" borderId="2" xfId="1" applyNumberFormat="1" applyFont="1" applyFill="1" applyBorder="1" applyAlignment="1">
      <alignment horizontal="center"/>
    </xf>
    <xf numFmtId="167" fontId="0" fillId="2" borderId="1" xfId="1" applyNumberFormat="1" applyFont="1" applyFill="1" applyBorder="1" applyAlignment="1">
      <alignment horizontal="center"/>
    </xf>
    <xf numFmtId="4" fontId="0" fillId="2" borderId="1" xfId="0" applyNumberFormat="1" applyFill="1" applyBorder="1" applyAlignment="1">
      <alignment horizontal="left"/>
    </xf>
    <xf numFmtId="0" fontId="13" fillId="2" borderId="1" xfId="0" applyFont="1" applyFill="1" applyBorder="1"/>
    <xf numFmtId="0" fontId="13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14" fontId="0" fillId="2" borderId="3" xfId="0" applyNumberFormat="1" applyFill="1" applyBorder="1" applyAlignment="1">
      <alignment horizontal="center"/>
    </xf>
    <xf numFmtId="166" fontId="0" fillId="2" borderId="3" xfId="1" applyFont="1" applyFill="1" applyBorder="1"/>
  </cellXfs>
  <cellStyles count="4">
    <cellStyle name="Millares" xfId="1" builtinId="3"/>
    <cellStyle name="Millares [0]" xfId="2" builtinId="6"/>
    <cellStyle name="Millares 2" xfId="3" xr:uid="{1A229594-C18F-4376-AFE4-BD841351172D}"/>
    <cellStyle name="Normal" xfId="0" builtinId="0"/>
  </cellStyles>
  <dxfs count="0"/>
  <tableStyles count="0" defaultTableStyle="TableStyleMedium2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E325-B72B-425F-9861-1719F6ECA946}">
  <sheetPr codeName="Hoja1"/>
  <dimension ref="A1:G46"/>
  <sheetViews>
    <sheetView showGridLines="0" workbookViewId="0"/>
  </sheetViews>
  <sheetFormatPr baseColWidth="10" defaultColWidth="10.85546875" defaultRowHeight="11.25"/>
  <cols>
    <col min="1" max="1" width="8.28515625" style="1" customWidth="1"/>
    <col min="2" max="2" width="30" style="1" customWidth="1"/>
    <col min="3" max="3" width="10.7109375" style="2" customWidth="1"/>
    <col min="4" max="4" width="10.140625" style="2" customWidth="1"/>
    <col min="5" max="5" width="11.7109375" style="27" customWidth="1"/>
    <col min="6" max="6" width="35" style="1" bestFit="1" customWidth="1"/>
    <col min="7" max="7" width="10.85546875" style="4"/>
    <col min="8" max="10" width="10.85546875" style="1"/>
    <col min="11" max="11" width="13.7109375" style="1" bestFit="1" customWidth="1"/>
    <col min="12" max="16384" width="10.85546875" style="1"/>
  </cols>
  <sheetData>
    <row r="1" spans="1:7">
      <c r="E1" s="3" t="s">
        <v>0</v>
      </c>
    </row>
    <row r="2" spans="1:7">
      <c r="A2" s="5" t="s">
        <v>1</v>
      </c>
      <c r="E2" s="3" t="s">
        <v>2</v>
      </c>
    </row>
    <row r="3" spans="1:7">
      <c r="A3" s="5" t="s">
        <v>3</v>
      </c>
      <c r="E3" s="3" t="s">
        <v>4</v>
      </c>
      <c r="F3" s="6"/>
    </row>
    <row r="5" spans="1:7">
      <c r="A5" s="7" t="s">
        <v>5</v>
      </c>
      <c r="B5" s="7" t="s">
        <v>6</v>
      </c>
      <c r="C5" s="8" t="s">
        <v>7</v>
      </c>
      <c r="D5" s="8" t="s">
        <v>8</v>
      </c>
      <c r="E5" s="9" t="s">
        <v>9</v>
      </c>
      <c r="F5" s="9" t="s">
        <v>10</v>
      </c>
    </row>
    <row r="6" spans="1:7" s="15" customFormat="1">
      <c r="A6" s="10"/>
      <c r="B6" s="10" t="s">
        <v>11</v>
      </c>
      <c r="C6" s="11"/>
      <c r="D6" s="12"/>
      <c r="E6" s="13">
        <v>0</v>
      </c>
      <c r="F6" s="14"/>
    </row>
    <row r="7" spans="1:7">
      <c r="A7" s="16">
        <v>45282</v>
      </c>
      <c r="B7" s="20" t="s">
        <v>12</v>
      </c>
      <c r="C7" s="18"/>
      <c r="D7" s="18">
        <v>110400</v>
      </c>
      <c r="E7" s="19">
        <f>E6+D7-C7</f>
        <v>110400</v>
      </c>
      <c r="F7" s="20" t="s">
        <v>13</v>
      </c>
      <c r="G7" s="21"/>
    </row>
    <row r="8" spans="1:7">
      <c r="A8" s="16">
        <v>45283</v>
      </c>
      <c r="B8" s="20" t="s">
        <v>14</v>
      </c>
      <c r="C8" s="18">
        <v>80</v>
      </c>
      <c r="D8" s="18"/>
      <c r="E8" s="19">
        <f t="shared" ref="E8:E27" si="0">E7+D8-C8</f>
        <v>110320</v>
      </c>
      <c r="F8" s="20" t="s">
        <v>14</v>
      </c>
      <c r="G8" s="21"/>
    </row>
    <row r="9" spans="1:7">
      <c r="A9" s="16">
        <v>45283</v>
      </c>
      <c r="B9" s="17" t="s">
        <v>15</v>
      </c>
      <c r="C9" s="18">
        <v>84.8</v>
      </c>
      <c r="D9" s="18"/>
      <c r="E9" s="19">
        <f t="shared" si="0"/>
        <v>110235.2</v>
      </c>
      <c r="F9" s="17" t="s">
        <v>15</v>
      </c>
      <c r="G9" s="21"/>
    </row>
    <row r="10" spans="1:7">
      <c r="A10" s="16">
        <v>45283</v>
      </c>
      <c r="B10" s="20" t="s">
        <v>14</v>
      </c>
      <c r="C10" s="18">
        <v>270</v>
      </c>
      <c r="D10" s="18"/>
      <c r="E10" s="19">
        <f t="shared" si="0"/>
        <v>109965.2</v>
      </c>
      <c r="F10" s="20" t="s">
        <v>14</v>
      </c>
      <c r="G10" s="1"/>
    </row>
    <row r="11" spans="1:7">
      <c r="A11" s="16">
        <v>45283</v>
      </c>
      <c r="B11" s="17" t="s">
        <v>16</v>
      </c>
      <c r="C11" s="18">
        <v>375.45</v>
      </c>
      <c r="D11" s="18"/>
      <c r="E11" s="19">
        <f t="shared" si="0"/>
        <v>109589.75</v>
      </c>
      <c r="F11" s="17" t="s">
        <v>16</v>
      </c>
      <c r="G11" s="1"/>
    </row>
    <row r="12" spans="1:7">
      <c r="A12" s="16">
        <v>45283</v>
      </c>
      <c r="B12" s="20" t="s">
        <v>14</v>
      </c>
      <c r="C12" s="18">
        <v>533.91</v>
      </c>
      <c r="D12" s="18"/>
      <c r="E12" s="19">
        <f t="shared" si="0"/>
        <v>109055.84</v>
      </c>
      <c r="F12" s="20" t="s">
        <v>14</v>
      </c>
      <c r="G12" s="1"/>
    </row>
    <row r="13" spans="1:7">
      <c r="A13" s="16">
        <v>45283</v>
      </c>
      <c r="B13" s="20" t="s">
        <v>14</v>
      </c>
      <c r="C13" s="18">
        <v>676.61</v>
      </c>
      <c r="D13" s="18"/>
      <c r="E13" s="19">
        <f t="shared" si="0"/>
        <v>108379.23</v>
      </c>
      <c r="F13" s="20" t="s">
        <v>14</v>
      </c>
      <c r="G13" s="1"/>
    </row>
    <row r="14" spans="1:7">
      <c r="A14" s="16">
        <v>45283</v>
      </c>
      <c r="B14" s="17" t="s">
        <v>16</v>
      </c>
      <c r="C14" s="18">
        <v>688.89</v>
      </c>
      <c r="D14" s="18"/>
      <c r="E14" s="19">
        <f t="shared" si="0"/>
        <v>107690.34</v>
      </c>
      <c r="F14" s="17" t="s">
        <v>16</v>
      </c>
      <c r="G14" s="1"/>
    </row>
    <row r="15" spans="1:7">
      <c r="A15" s="16">
        <v>45283</v>
      </c>
      <c r="B15" s="17" t="s">
        <v>16</v>
      </c>
      <c r="C15" s="18">
        <v>691.41</v>
      </c>
      <c r="D15" s="18"/>
      <c r="E15" s="19">
        <f t="shared" si="0"/>
        <v>106998.93</v>
      </c>
      <c r="F15" s="17" t="s">
        <v>16</v>
      </c>
      <c r="G15" s="1"/>
    </row>
    <row r="16" spans="1:7">
      <c r="A16" s="16">
        <v>45283</v>
      </c>
      <c r="B16" s="20" t="s">
        <v>14</v>
      </c>
      <c r="C16" s="18">
        <v>692.14</v>
      </c>
      <c r="D16" s="18"/>
      <c r="E16" s="19">
        <f t="shared" si="0"/>
        <v>106306.79</v>
      </c>
      <c r="F16" s="20" t="s">
        <v>14</v>
      </c>
      <c r="G16" s="1"/>
    </row>
    <row r="17" spans="1:7">
      <c r="A17" s="16">
        <v>45283</v>
      </c>
      <c r="B17" s="20" t="s">
        <v>14</v>
      </c>
      <c r="C17" s="18">
        <v>892.5</v>
      </c>
      <c r="D17" s="18"/>
      <c r="E17" s="19">
        <f t="shared" si="0"/>
        <v>105414.29</v>
      </c>
      <c r="F17" s="20" t="s">
        <v>14</v>
      </c>
      <c r="G17" s="1"/>
    </row>
    <row r="18" spans="1:7">
      <c r="A18" s="16">
        <v>45283</v>
      </c>
      <c r="B18" s="17" t="s">
        <v>15</v>
      </c>
      <c r="C18" s="18">
        <v>896.45</v>
      </c>
      <c r="D18" s="18"/>
      <c r="E18" s="19">
        <f t="shared" si="0"/>
        <v>104517.84</v>
      </c>
      <c r="F18" s="17" t="s">
        <v>15</v>
      </c>
      <c r="G18" s="1"/>
    </row>
    <row r="19" spans="1:7" s="4" customFormat="1">
      <c r="A19" s="16">
        <v>45283</v>
      </c>
      <c r="B19" s="17" t="s">
        <v>16</v>
      </c>
      <c r="C19" s="18">
        <v>982.48</v>
      </c>
      <c r="D19" s="18"/>
      <c r="E19" s="19">
        <f t="shared" si="0"/>
        <v>103535.36</v>
      </c>
      <c r="F19" s="17" t="s">
        <v>16</v>
      </c>
    </row>
    <row r="20" spans="1:7" s="4" customFormat="1">
      <c r="A20" s="16">
        <v>45283</v>
      </c>
      <c r="B20" s="20" t="s">
        <v>14</v>
      </c>
      <c r="C20" s="18">
        <v>1000</v>
      </c>
      <c r="D20" s="18"/>
      <c r="E20" s="19">
        <f t="shared" si="0"/>
        <v>102535.36</v>
      </c>
      <c r="F20" s="20" t="s">
        <v>14</v>
      </c>
    </row>
    <row r="21" spans="1:7">
      <c r="A21" s="16">
        <v>45283</v>
      </c>
      <c r="B21" s="20" t="s">
        <v>14</v>
      </c>
      <c r="C21" s="18">
        <v>1088.3800000000001</v>
      </c>
      <c r="D21" s="18"/>
      <c r="E21" s="19">
        <f t="shared" si="0"/>
        <v>101446.98</v>
      </c>
      <c r="F21" s="20" t="s">
        <v>14</v>
      </c>
      <c r="G21" s="1"/>
    </row>
    <row r="22" spans="1:7">
      <c r="A22" s="16">
        <v>45283</v>
      </c>
      <c r="B22" s="20" t="s">
        <v>14</v>
      </c>
      <c r="C22" s="18">
        <v>1090.6500000000001</v>
      </c>
      <c r="D22" s="18"/>
      <c r="E22" s="19">
        <f t="shared" si="0"/>
        <v>100356.33</v>
      </c>
      <c r="F22" s="20" t="s">
        <v>14</v>
      </c>
      <c r="G22" s="1"/>
    </row>
    <row r="23" spans="1:7">
      <c r="A23" s="16">
        <v>45283</v>
      </c>
      <c r="B23" s="17" t="s">
        <v>15</v>
      </c>
      <c r="C23" s="18">
        <v>1342.7</v>
      </c>
      <c r="D23" s="18"/>
      <c r="E23" s="19">
        <f t="shared" si="0"/>
        <v>99013.63</v>
      </c>
      <c r="F23" s="17" t="s">
        <v>15</v>
      </c>
      <c r="G23" s="1"/>
    </row>
    <row r="24" spans="1:7">
      <c r="A24" s="16">
        <v>45283</v>
      </c>
      <c r="B24" s="20" t="s">
        <v>14</v>
      </c>
      <c r="C24" s="18">
        <v>1485.58</v>
      </c>
      <c r="D24" s="18"/>
      <c r="E24" s="19">
        <f t="shared" si="0"/>
        <v>97528.05</v>
      </c>
      <c r="F24" s="20" t="s">
        <v>14</v>
      </c>
      <c r="G24" s="1"/>
    </row>
    <row r="25" spans="1:7">
      <c r="A25" s="16">
        <v>45283</v>
      </c>
      <c r="B25" s="20" t="s">
        <v>14</v>
      </c>
      <c r="C25" s="18">
        <v>1705.27</v>
      </c>
      <c r="D25" s="18"/>
      <c r="E25" s="19">
        <f t="shared" si="0"/>
        <v>95822.78</v>
      </c>
      <c r="F25" s="20" t="s">
        <v>14</v>
      </c>
      <c r="G25" s="21"/>
    </row>
    <row r="26" spans="1:7">
      <c r="A26" s="16">
        <v>45283</v>
      </c>
      <c r="B26" s="20" t="s">
        <v>14</v>
      </c>
      <c r="C26" s="18">
        <v>2530</v>
      </c>
      <c r="D26" s="18"/>
      <c r="E26" s="19">
        <f t="shared" si="0"/>
        <v>93292.78</v>
      </c>
      <c r="F26" s="20" t="s">
        <v>14</v>
      </c>
      <c r="G26" s="21"/>
    </row>
    <row r="27" spans="1:7">
      <c r="A27" s="16">
        <v>45283</v>
      </c>
      <c r="B27" s="20" t="s">
        <v>14</v>
      </c>
      <c r="C27" s="18">
        <v>2692.74</v>
      </c>
      <c r="D27" s="18"/>
      <c r="E27" s="19">
        <f t="shared" si="0"/>
        <v>90600.04</v>
      </c>
      <c r="F27" s="20" t="s">
        <v>14</v>
      </c>
      <c r="G27" s="1"/>
    </row>
    <row r="28" spans="1:7">
      <c r="A28" s="16">
        <v>45283</v>
      </c>
      <c r="B28" s="20" t="s">
        <v>14</v>
      </c>
      <c r="C28" s="18">
        <v>2975</v>
      </c>
      <c r="D28" s="18"/>
      <c r="E28" s="19">
        <f t="shared" ref="E28:E41" si="1">E27+D28-C28</f>
        <v>87625.04</v>
      </c>
      <c r="F28" s="20" t="s">
        <v>14</v>
      </c>
      <c r="G28" s="1"/>
    </row>
    <row r="29" spans="1:7">
      <c r="A29" s="16">
        <v>45283</v>
      </c>
      <c r="B29" s="17" t="s">
        <v>15</v>
      </c>
      <c r="C29" s="18">
        <v>4520.0200000000004</v>
      </c>
      <c r="D29" s="18"/>
      <c r="E29" s="19">
        <f t="shared" si="1"/>
        <v>83105.01999999999</v>
      </c>
      <c r="F29" s="17" t="s">
        <v>15</v>
      </c>
      <c r="G29" s="1"/>
    </row>
    <row r="30" spans="1:7">
      <c r="A30" s="16">
        <v>45283</v>
      </c>
      <c r="B30" s="20" t="s">
        <v>14</v>
      </c>
      <c r="C30" s="18">
        <v>8100</v>
      </c>
      <c r="D30" s="18"/>
      <c r="E30" s="19">
        <f t="shared" si="1"/>
        <v>75005.01999999999</v>
      </c>
      <c r="F30" s="20" t="s">
        <v>14</v>
      </c>
      <c r="G30" s="1"/>
    </row>
    <row r="31" spans="1:7">
      <c r="A31" s="16">
        <v>45283</v>
      </c>
      <c r="B31" s="17" t="s">
        <v>17</v>
      </c>
      <c r="C31" s="18">
        <v>9518.57</v>
      </c>
      <c r="D31" s="18"/>
      <c r="E31" s="19">
        <f t="shared" si="1"/>
        <v>65486.44999999999</v>
      </c>
      <c r="F31" s="17" t="s">
        <v>17</v>
      </c>
      <c r="G31" s="1"/>
    </row>
    <row r="32" spans="1:7">
      <c r="A32" s="16">
        <v>45283</v>
      </c>
      <c r="B32" s="20" t="s">
        <v>14</v>
      </c>
      <c r="C32" s="18">
        <v>22698.67</v>
      </c>
      <c r="D32" s="18"/>
      <c r="E32" s="19">
        <f t="shared" si="1"/>
        <v>42787.779999999992</v>
      </c>
      <c r="F32" s="20" t="s">
        <v>14</v>
      </c>
      <c r="G32" s="1"/>
    </row>
    <row r="33" spans="1:7">
      <c r="A33" s="16">
        <v>45285</v>
      </c>
      <c r="B33" s="17" t="s">
        <v>18</v>
      </c>
      <c r="C33" s="18">
        <v>8.25</v>
      </c>
      <c r="D33" s="18"/>
      <c r="E33" s="19">
        <f t="shared" si="1"/>
        <v>42779.529999999992</v>
      </c>
      <c r="F33" s="17" t="s">
        <v>18</v>
      </c>
      <c r="G33" s="1"/>
    </row>
    <row r="34" spans="1:7">
      <c r="A34" s="16">
        <v>45288</v>
      </c>
      <c r="B34" s="17" t="s">
        <v>19</v>
      </c>
      <c r="C34" s="18"/>
      <c r="D34" s="18">
        <v>129325</v>
      </c>
      <c r="E34" s="19">
        <f t="shared" si="1"/>
        <v>172104.53</v>
      </c>
      <c r="F34" s="17" t="s">
        <v>19</v>
      </c>
      <c r="G34" s="1"/>
    </row>
    <row r="35" spans="1:7">
      <c r="A35" s="16">
        <v>45288</v>
      </c>
      <c r="B35" s="17" t="s">
        <v>16</v>
      </c>
      <c r="C35" s="18">
        <v>1004.8</v>
      </c>
      <c r="D35" s="18"/>
      <c r="E35" s="19">
        <f t="shared" si="1"/>
        <v>171099.73</v>
      </c>
      <c r="F35" s="17" t="s">
        <v>16</v>
      </c>
      <c r="G35" s="1"/>
    </row>
    <row r="36" spans="1:7" s="4" customFormat="1">
      <c r="A36" s="16">
        <v>45288</v>
      </c>
      <c r="B36" s="17" t="s">
        <v>16</v>
      </c>
      <c r="C36" s="18">
        <v>1852.8</v>
      </c>
      <c r="D36" s="18"/>
      <c r="E36" s="19">
        <f t="shared" si="1"/>
        <v>169246.93000000002</v>
      </c>
      <c r="F36" s="17" t="s">
        <v>16</v>
      </c>
    </row>
    <row r="37" spans="1:7" s="4" customFormat="1">
      <c r="A37" s="16">
        <v>45288</v>
      </c>
      <c r="B37" s="17" t="s">
        <v>20</v>
      </c>
      <c r="C37" s="18">
        <v>129389.54</v>
      </c>
      <c r="D37" s="18"/>
      <c r="E37" s="19">
        <f t="shared" si="1"/>
        <v>39857.390000000029</v>
      </c>
      <c r="F37" s="17" t="s">
        <v>21</v>
      </c>
    </row>
    <row r="38" spans="1:7">
      <c r="A38" s="16">
        <v>45288</v>
      </c>
      <c r="B38" s="17" t="s">
        <v>18</v>
      </c>
      <c r="C38" s="18">
        <v>13</v>
      </c>
      <c r="D38" s="18"/>
      <c r="E38" s="19">
        <f t="shared" si="1"/>
        <v>39844.390000000029</v>
      </c>
      <c r="F38" s="17" t="s">
        <v>18</v>
      </c>
      <c r="G38" s="1"/>
    </row>
    <row r="39" spans="1:7">
      <c r="A39" s="16">
        <v>45289</v>
      </c>
      <c r="B39" s="17" t="s">
        <v>16</v>
      </c>
      <c r="C39" s="18">
        <v>1729.6</v>
      </c>
      <c r="D39" s="18"/>
      <c r="E39" s="19">
        <f t="shared" si="1"/>
        <v>38114.79000000003</v>
      </c>
      <c r="F39" s="17" t="s">
        <v>16</v>
      </c>
      <c r="G39" s="1"/>
    </row>
    <row r="40" spans="1:7">
      <c r="A40" s="16">
        <v>45289</v>
      </c>
      <c r="B40" s="17" t="s">
        <v>18</v>
      </c>
      <c r="C40" s="18">
        <v>0.05</v>
      </c>
      <c r="D40" s="18"/>
      <c r="E40" s="19">
        <f t="shared" si="1"/>
        <v>38114.740000000027</v>
      </c>
      <c r="F40" s="17" t="s">
        <v>18</v>
      </c>
      <c r="G40" s="1"/>
    </row>
    <row r="41" spans="1:7">
      <c r="A41" s="16">
        <v>45290</v>
      </c>
      <c r="B41" s="17" t="s">
        <v>16</v>
      </c>
      <c r="C41" s="18">
        <v>177.3</v>
      </c>
      <c r="D41" s="18"/>
      <c r="E41" s="19">
        <f t="shared" si="1"/>
        <v>37937.440000000024</v>
      </c>
      <c r="F41" s="17" t="s">
        <v>16</v>
      </c>
      <c r="G41" s="1"/>
    </row>
    <row r="42" spans="1:7">
      <c r="A42" s="16">
        <v>45290</v>
      </c>
      <c r="B42" s="17" t="s">
        <v>22</v>
      </c>
      <c r="C42" s="18">
        <v>3.5</v>
      </c>
      <c r="D42" s="18"/>
      <c r="E42" s="19">
        <f>E41+D42-C42</f>
        <v>37933.940000000024</v>
      </c>
      <c r="F42" s="17" t="s">
        <v>22</v>
      </c>
      <c r="G42" s="1"/>
    </row>
    <row r="43" spans="1:7">
      <c r="A43" s="16">
        <v>45290</v>
      </c>
      <c r="B43" s="17" t="s">
        <v>23</v>
      </c>
      <c r="C43" s="18">
        <v>35</v>
      </c>
      <c r="D43" s="18"/>
      <c r="E43" s="19">
        <f>E42+D43-C43</f>
        <v>37898.940000000024</v>
      </c>
      <c r="F43" s="17" t="s">
        <v>23</v>
      </c>
      <c r="G43" s="1"/>
    </row>
    <row r="44" spans="1:7" s="26" customFormat="1">
      <c r="A44" s="22"/>
      <c r="B44" s="23" t="s">
        <v>24</v>
      </c>
      <c r="C44" s="13"/>
      <c r="D44" s="13"/>
      <c r="E44" s="24">
        <f>E43+D44-C44</f>
        <v>37898.940000000024</v>
      </c>
      <c r="F44" s="25"/>
    </row>
    <row r="46" spans="1:7" s="4" customFormat="1">
      <c r="A46" s="1"/>
      <c r="B46" s="1"/>
      <c r="C46" s="2"/>
      <c r="D46" s="2"/>
      <c r="E46" s="27"/>
      <c r="F46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3D96-B92E-46D3-AAB7-D36001039B70}">
  <sheetPr codeName="Hoja2" filterMode="1"/>
  <dimension ref="A1:G41"/>
  <sheetViews>
    <sheetView workbookViewId="0">
      <selection activeCell="E21" sqref="E19:E21"/>
    </sheetView>
  </sheetViews>
  <sheetFormatPr baseColWidth="10" defaultColWidth="11.42578125" defaultRowHeight="15"/>
  <cols>
    <col min="2" max="2" width="38.85546875" bestFit="1" customWidth="1"/>
    <col min="3" max="3" width="34" bestFit="1" customWidth="1"/>
    <col min="7" max="7" width="29.28515625" bestFit="1" customWidth="1"/>
  </cols>
  <sheetData>
    <row r="1" spans="1:7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7" hidden="1">
      <c r="A2" s="34">
        <v>45432</v>
      </c>
      <c r="B2" t="s">
        <v>31</v>
      </c>
      <c r="C2" t="s">
        <v>32</v>
      </c>
      <c r="E2" s="35">
        <v>10000</v>
      </c>
      <c r="F2" t="s">
        <v>33</v>
      </c>
    </row>
    <row r="3" spans="1:7" hidden="1">
      <c r="A3" s="34">
        <v>45430</v>
      </c>
      <c r="B3" t="s">
        <v>34</v>
      </c>
      <c r="C3" t="s">
        <v>35</v>
      </c>
      <c r="E3" s="35">
        <v>6967</v>
      </c>
      <c r="F3" t="s">
        <v>33</v>
      </c>
      <c r="G3" t="s">
        <v>36</v>
      </c>
    </row>
    <row r="4" spans="1:7" hidden="1">
      <c r="A4" s="34">
        <v>45442</v>
      </c>
      <c r="B4" t="s">
        <v>37</v>
      </c>
      <c r="C4" t="s">
        <v>38</v>
      </c>
      <c r="E4" s="35">
        <v>3000</v>
      </c>
      <c r="F4" t="s">
        <v>33</v>
      </c>
    </row>
    <row r="5" spans="1:7" hidden="1">
      <c r="A5" s="34">
        <v>45441</v>
      </c>
      <c r="B5" t="s">
        <v>31</v>
      </c>
      <c r="C5" t="s">
        <v>39</v>
      </c>
      <c r="E5" s="35">
        <v>20000</v>
      </c>
      <c r="F5" t="s">
        <v>33</v>
      </c>
    </row>
    <row r="6" spans="1:7" hidden="1">
      <c r="A6" s="34">
        <v>45421</v>
      </c>
      <c r="B6" t="s">
        <v>40</v>
      </c>
      <c r="C6" t="s">
        <v>41</v>
      </c>
      <c r="E6" s="35">
        <v>20000</v>
      </c>
      <c r="F6" t="s">
        <v>33</v>
      </c>
    </row>
    <row r="7" spans="1:7" hidden="1">
      <c r="A7" s="34">
        <v>45430</v>
      </c>
      <c r="B7" t="s">
        <v>31</v>
      </c>
      <c r="C7" t="s">
        <v>42</v>
      </c>
      <c r="E7" s="35">
        <v>30000</v>
      </c>
      <c r="F7" t="s">
        <v>33</v>
      </c>
    </row>
    <row r="8" spans="1:7" hidden="1">
      <c r="A8" s="34">
        <v>45441</v>
      </c>
      <c r="B8" t="s">
        <v>43</v>
      </c>
      <c r="C8" t="s">
        <v>44</v>
      </c>
      <c r="E8">
        <v>200</v>
      </c>
      <c r="F8" t="s">
        <v>33</v>
      </c>
    </row>
    <row r="9" spans="1:7" hidden="1">
      <c r="A9" s="34">
        <v>45432</v>
      </c>
      <c r="B9" t="s">
        <v>45</v>
      </c>
      <c r="C9" t="s">
        <v>46</v>
      </c>
      <c r="E9" s="35">
        <v>1200</v>
      </c>
      <c r="F9" t="s">
        <v>33</v>
      </c>
    </row>
    <row r="10" spans="1:7" hidden="1">
      <c r="A10" s="34">
        <v>45422</v>
      </c>
      <c r="B10" t="s">
        <v>47</v>
      </c>
      <c r="C10" t="s">
        <v>48</v>
      </c>
      <c r="E10">
        <v>200</v>
      </c>
      <c r="F10" t="s">
        <v>49</v>
      </c>
    </row>
    <row r="11" spans="1:7" hidden="1">
      <c r="A11" s="34">
        <v>45420</v>
      </c>
      <c r="B11" t="s">
        <v>50</v>
      </c>
      <c r="C11" t="s">
        <v>51</v>
      </c>
      <c r="E11">
        <v>720</v>
      </c>
      <c r="F11" t="s">
        <v>33</v>
      </c>
      <c r="G11" t="s">
        <v>52</v>
      </c>
    </row>
    <row r="12" spans="1:7" hidden="1">
      <c r="A12" s="34">
        <v>45432</v>
      </c>
      <c r="B12" t="s">
        <v>53</v>
      </c>
      <c r="C12" t="s">
        <v>54</v>
      </c>
      <c r="E12" s="35">
        <v>2000</v>
      </c>
      <c r="F12" t="s">
        <v>33</v>
      </c>
    </row>
    <row r="13" spans="1:7" hidden="1">
      <c r="A13" s="34">
        <v>45428</v>
      </c>
      <c r="B13" t="s">
        <v>53</v>
      </c>
      <c r="C13" t="s">
        <v>55</v>
      </c>
      <c r="E13" s="35">
        <v>3200</v>
      </c>
      <c r="F13" t="s">
        <v>33</v>
      </c>
    </row>
    <row r="14" spans="1:7" hidden="1">
      <c r="A14" s="34">
        <v>45428</v>
      </c>
      <c r="B14" t="s">
        <v>53</v>
      </c>
      <c r="C14" t="s">
        <v>55</v>
      </c>
      <c r="E14" s="35">
        <v>1500</v>
      </c>
      <c r="F14" t="s">
        <v>33</v>
      </c>
    </row>
    <row r="15" spans="1:7" hidden="1">
      <c r="A15" s="34">
        <v>45440</v>
      </c>
      <c r="B15" t="s">
        <v>56</v>
      </c>
      <c r="C15" t="s">
        <v>57</v>
      </c>
      <c r="E15" s="35">
        <v>3200</v>
      </c>
      <c r="F15" t="s">
        <v>49</v>
      </c>
    </row>
    <row r="16" spans="1:7" hidden="1">
      <c r="A16" s="34">
        <v>45425</v>
      </c>
      <c r="B16" t="s">
        <v>58</v>
      </c>
      <c r="C16" t="s">
        <v>54</v>
      </c>
      <c r="E16" s="35">
        <v>2000</v>
      </c>
      <c r="F16" t="s">
        <v>33</v>
      </c>
    </row>
    <row r="17" spans="1:7" hidden="1">
      <c r="A17" s="34">
        <v>45432</v>
      </c>
      <c r="B17" t="s">
        <v>59</v>
      </c>
      <c r="C17" t="s">
        <v>60</v>
      </c>
      <c r="D17">
        <v>908.6</v>
      </c>
      <c r="F17" t="s">
        <v>61</v>
      </c>
    </row>
    <row r="18" spans="1:7" hidden="1">
      <c r="A18" s="34">
        <v>45429</v>
      </c>
      <c r="B18" t="s">
        <v>62</v>
      </c>
      <c r="C18" t="s">
        <v>63</v>
      </c>
      <c r="E18" s="35">
        <v>1003</v>
      </c>
      <c r="F18" t="s">
        <v>33</v>
      </c>
      <c r="G18" t="s">
        <v>64</v>
      </c>
    </row>
    <row r="19" spans="1:7">
      <c r="A19" s="34">
        <v>45442</v>
      </c>
      <c r="B19" t="s">
        <v>65</v>
      </c>
      <c r="C19" t="s">
        <v>66</v>
      </c>
      <c r="E19">
        <v>285</v>
      </c>
      <c r="F19" t="s">
        <v>33</v>
      </c>
    </row>
    <row r="20" spans="1:7" hidden="1">
      <c r="A20" s="34">
        <v>45424</v>
      </c>
      <c r="B20" t="s">
        <v>56</v>
      </c>
      <c r="C20" t="s">
        <v>67</v>
      </c>
      <c r="E20" s="35">
        <v>1344</v>
      </c>
      <c r="F20" t="s">
        <v>33</v>
      </c>
    </row>
    <row r="21" spans="1:7">
      <c r="A21" s="34">
        <v>45432</v>
      </c>
      <c r="B21" t="s">
        <v>65</v>
      </c>
      <c r="C21" t="s">
        <v>68</v>
      </c>
      <c r="E21">
        <v>822</v>
      </c>
      <c r="F21" t="s">
        <v>33</v>
      </c>
    </row>
    <row r="22" spans="1:7" hidden="1">
      <c r="A22" s="34">
        <v>45442</v>
      </c>
      <c r="B22" t="s">
        <v>69</v>
      </c>
      <c r="C22" t="s">
        <v>70</v>
      </c>
      <c r="E22">
        <v>317.42</v>
      </c>
      <c r="F22" t="s">
        <v>71</v>
      </c>
    </row>
    <row r="23" spans="1:7" hidden="1">
      <c r="A23" s="34">
        <v>45428</v>
      </c>
      <c r="B23" t="s">
        <v>69</v>
      </c>
      <c r="C23" t="s">
        <v>72</v>
      </c>
      <c r="E23">
        <v>247.8</v>
      </c>
      <c r="F23" t="s">
        <v>71</v>
      </c>
      <c r="G23" t="s">
        <v>73</v>
      </c>
    </row>
    <row r="24" spans="1:7" hidden="1">
      <c r="A24" s="34">
        <v>45428</v>
      </c>
      <c r="B24" t="s">
        <v>69</v>
      </c>
      <c r="C24" t="s">
        <v>74</v>
      </c>
      <c r="E24">
        <v>247.8</v>
      </c>
      <c r="F24" t="s">
        <v>71</v>
      </c>
    </row>
    <row r="25" spans="1:7" hidden="1">
      <c r="A25" s="34">
        <v>45425</v>
      </c>
      <c r="B25" t="s">
        <v>75</v>
      </c>
      <c r="C25" t="s">
        <v>76</v>
      </c>
      <c r="E25" s="35">
        <v>1467.41</v>
      </c>
      <c r="F25" t="s">
        <v>71</v>
      </c>
    </row>
    <row r="26" spans="1:7" hidden="1">
      <c r="A26" s="34">
        <v>45432</v>
      </c>
      <c r="B26" t="s">
        <v>75</v>
      </c>
      <c r="C26" t="s">
        <v>77</v>
      </c>
      <c r="E26" s="35">
        <v>8150.02</v>
      </c>
      <c r="F26" t="s">
        <v>33</v>
      </c>
    </row>
    <row r="27" spans="1:7" hidden="1">
      <c r="A27" s="34">
        <v>45441</v>
      </c>
      <c r="B27" t="s">
        <v>31</v>
      </c>
      <c r="C27" t="s">
        <v>78</v>
      </c>
      <c r="E27" s="35">
        <v>3000</v>
      </c>
      <c r="F27" t="s">
        <v>33</v>
      </c>
    </row>
    <row r="28" spans="1:7" hidden="1">
      <c r="A28" s="34">
        <v>45432</v>
      </c>
      <c r="B28" t="s">
        <v>45</v>
      </c>
      <c r="C28" t="s">
        <v>79</v>
      </c>
      <c r="E28">
        <v>600</v>
      </c>
      <c r="F28" t="s">
        <v>33</v>
      </c>
    </row>
    <row r="29" spans="1:7" hidden="1">
      <c r="A29" s="34">
        <v>45425</v>
      </c>
      <c r="B29" t="s">
        <v>80</v>
      </c>
      <c r="C29" t="s">
        <v>81</v>
      </c>
      <c r="E29">
        <v>600</v>
      </c>
      <c r="F29" t="s">
        <v>33</v>
      </c>
      <c r="G29" t="s">
        <v>82</v>
      </c>
    </row>
    <row r="30" spans="1:7" hidden="1">
      <c r="A30" s="34">
        <v>45432</v>
      </c>
      <c r="B30" t="s">
        <v>37</v>
      </c>
      <c r="C30" t="s">
        <v>83</v>
      </c>
      <c r="E30" s="35">
        <v>6903</v>
      </c>
      <c r="F30" t="s">
        <v>71</v>
      </c>
    </row>
    <row r="31" spans="1:7" hidden="1">
      <c r="A31" s="34">
        <v>45418</v>
      </c>
      <c r="B31" t="s">
        <v>84</v>
      </c>
      <c r="C31" t="s">
        <v>85</v>
      </c>
      <c r="D31">
        <v>94.52</v>
      </c>
      <c r="F31" t="s">
        <v>61</v>
      </c>
    </row>
    <row r="32" spans="1:7" hidden="1">
      <c r="A32" s="34">
        <v>45429</v>
      </c>
      <c r="B32" t="s">
        <v>86</v>
      </c>
      <c r="C32" t="s">
        <v>87</v>
      </c>
      <c r="D32" s="35">
        <v>1562.73</v>
      </c>
      <c r="F32" t="s">
        <v>61</v>
      </c>
    </row>
    <row r="33" spans="1:7" hidden="1">
      <c r="A33" s="34">
        <v>45425</v>
      </c>
      <c r="B33" t="s">
        <v>86</v>
      </c>
      <c r="C33" t="s">
        <v>88</v>
      </c>
      <c r="D33">
        <v>375.52</v>
      </c>
      <c r="F33" t="s">
        <v>61</v>
      </c>
    </row>
    <row r="34" spans="1:7" hidden="1">
      <c r="A34" s="34">
        <v>45432</v>
      </c>
      <c r="B34" t="s">
        <v>89</v>
      </c>
      <c r="C34" t="s">
        <v>90</v>
      </c>
      <c r="D34" s="35">
        <v>3724.5</v>
      </c>
      <c r="F34" t="s">
        <v>61</v>
      </c>
    </row>
    <row r="35" spans="1:7" hidden="1">
      <c r="A35" s="34">
        <v>45432</v>
      </c>
      <c r="B35" t="s">
        <v>91</v>
      </c>
      <c r="C35" t="s">
        <v>92</v>
      </c>
      <c r="E35" s="35">
        <v>7341.95</v>
      </c>
      <c r="F35" t="s">
        <v>49</v>
      </c>
    </row>
    <row r="36" spans="1:7" hidden="1">
      <c r="A36" s="34">
        <v>45430</v>
      </c>
      <c r="B36" t="s">
        <v>93</v>
      </c>
      <c r="C36" t="s">
        <v>94</v>
      </c>
      <c r="E36">
        <v>558.17999999999995</v>
      </c>
      <c r="F36" t="s">
        <v>33</v>
      </c>
    </row>
    <row r="37" spans="1:7" hidden="1">
      <c r="A37" s="34">
        <v>45429</v>
      </c>
      <c r="B37" t="s">
        <v>86</v>
      </c>
      <c r="C37" t="s">
        <v>95</v>
      </c>
      <c r="D37" s="35">
        <v>1562.73</v>
      </c>
      <c r="F37" t="s">
        <v>61</v>
      </c>
    </row>
    <row r="38" spans="1:7" hidden="1">
      <c r="A38" s="34">
        <v>45434</v>
      </c>
      <c r="B38" t="s">
        <v>96</v>
      </c>
      <c r="C38" t="s">
        <v>97</v>
      </c>
      <c r="D38">
        <v>472.66</v>
      </c>
      <c r="F38" t="s">
        <v>61</v>
      </c>
      <c r="G38" t="s">
        <v>98</v>
      </c>
    </row>
    <row r="39" spans="1:7" hidden="1">
      <c r="A39" s="34">
        <v>45423</v>
      </c>
      <c r="B39" t="s">
        <v>31</v>
      </c>
      <c r="C39" t="s">
        <v>99</v>
      </c>
      <c r="E39" s="35">
        <v>22000</v>
      </c>
      <c r="F39" t="s">
        <v>33</v>
      </c>
    </row>
    <row r="40" spans="1:7" hidden="1">
      <c r="A40" s="34">
        <v>45434</v>
      </c>
      <c r="B40" t="s">
        <v>100</v>
      </c>
      <c r="C40" t="s">
        <v>101</v>
      </c>
      <c r="E40" s="35">
        <v>1550</v>
      </c>
      <c r="F40" t="s">
        <v>33</v>
      </c>
    </row>
    <row r="41" spans="1:7" hidden="1">
      <c r="A41" s="34">
        <v>46531</v>
      </c>
      <c r="B41" t="s">
        <v>102</v>
      </c>
      <c r="C41" t="s">
        <v>103</v>
      </c>
      <c r="E41">
        <v>952.48</v>
      </c>
      <c r="F41" t="s">
        <v>49</v>
      </c>
    </row>
  </sheetData>
  <autoFilter ref="A1:F41" xr:uid="{EDA33D96-B92E-46D3-AAB7-D36001039B70}">
    <filterColumn colId="1">
      <filters>
        <filter val="Distribuidora Arnold &amp; Alexis EIRL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B40E-B93E-405B-BCCD-A2D476E8FC1C}">
  <sheetPr codeName="Hoja3"/>
  <dimension ref="A1:L189"/>
  <sheetViews>
    <sheetView topLeftCell="A127" workbookViewId="0">
      <selection activeCell="D23" sqref="D23"/>
    </sheetView>
  </sheetViews>
  <sheetFormatPr baseColWidth="10" defaultColWidth="11.28515625" defaultRowHeight="15"/>
  <cols>
    <col min="1" max="2" width="11.28515625" style="29"/>
    <col min="3" max="3" width="55.7109375" style="29" bestFit="1" customWidth="1"/>
    <col min="4" max="4" width="44.28515625" style="29" bestFit="1" customWidth="1"/>
    <col min="5" max="5" width="18.28515625" style="31" bestFit="1" customWidth="1"/>
    <col min="6" max="6" width="17.85546875" style="31" bestFit="1" customWidth="1"/>
    <col min="7" max="8" width="11.28515625" style="29"/>
    <col min="9" max="9" width="43" style="29" bestFit="1" customWidth="1"/>
    <col min="10" max="16384" width="11.28515625" style="29"/>
  </cols>
  <sheetData>
    <row r="1" spans="1:12">
      <c r="A1" s="52" t="s">
        <v>104</v>
      </c>
      <c r="B1" s="52" t="s">
        <v>5</v>
      </c>
      <c r="C1" s="52" t="s">
        <v>105</v>
      </c>
      <c r="D1" s="52" t="s">
        <v>106</v>
      </c>
      <c r="E1" s="53" t="s">
        <v>107</v>
      </c>
      <c r="F1" s="53" t="s">
        <v>108</v>
      </c>
      <c r="G1" s="52" t="s">
        <v>109</v>
      </c>
      <c r="H1" s="52" t="s">
        <v>110</v>
      </c>
      <c r="I1" s="52" t="s">
        <v>111</v>
      </c>
    </row>
    <row r="2" spans="1:12" s="47" customFormat="1">
      <c r="A2" s="58">
        <v>1</v>
      </c>
      <c r="B2" s="59">
        <v>45467</v>
      </c>
      <c r="C2" s="58" t="s">
        <v>112</v>
      </c>
      <c r="D2" s="58" t="s">
        <v>113</v>
      </c>
      <c r="E2" s="60"/>
      <c r="F2" s="60">
        <v>10000</v>
      </c>
      <c r="G2" s="58" t="s">
        <v>114</v>
      </c>
      <c r="H2" s="58"/>
      <c r="I2" s="58" t="s">
        <v>115</v>
      </c>
      <c r="J2" s="61" t="s">
        <v>116</v>
      </c>
    </row>
    <row r="3" spans="1:12" s="47" customFormat="1">
      <c r="A3" s="58">
        <v>2</v>
      </c>
      <c r="B3" s="59">
        <v>45467</v>
      </c>
      <c r="C3" s="58" t="s">
        <v>112</v>
      </c>
      <c r="D3" s="58" t="s">
        <v>113</v>
      </c>
      <c r="E3" s="60"/>
      <c r="F3" s="60">
        <v>10000</v>
      </c>
      <c r="G3" s="58" t="s">
        <v>114</v>
      </c>
      <c r="H3" s="58"/>
      <c r="I3" s="58" t="s">
        <v>115</v>
      </c>
      <c r="J3" s="47" t="s">
        <v>116</v>
      </c>
    </row>
    <row r="4" spans="1:12" s="37" customFormat="1">
      <c r="A4" s="50">
        <v>3</v>
      </c>
      <c r="B4" s="49">
        <v>45444</v>
      </c>
      <c r="C4" s="50" t="s">
        <v>117</v>
      </c>
      <c r="D4" s="50" t="s">
        <v>118</v>
      </c>
      <c r="E4" s="51">
        <v>3116.83</v>
      </c>
      <c r="F4" s="51"/>
      <c r="G4" s="50" t="s">
        <v>119</v>
      </c>
      <c r="H4" s="50"/>
      <c r="I4" s="50" t="s">
        <v>120</v>
      </c>
    </row>
    <row r="5" spans="1:12" s="47" customFormat="1">
      <c r="A5" s="58">
        <v>4</v>
      </c>
      <c r="B5" s="59">
        <v>45467</v>
      </c>
      <c r="C5" s="58" t="s">
        <v>121</v>
      </c>
      <c r="D5" s="58" t="s">
        <v>122</v>
      </c>
      <c r="E5" s="58"/>
      <c r="F5" s="60">
        <v>7778.69</v>
      </c>
      <c r="G5" s="58" t="s">
        <v>114</v>
      </c>
      <c r="H5" s="58">
        <v>1.39</v>
      </c>
      <c r="I5" s="58" t="s">
        <v>123</v>
      </c>
    </row>
    <row r="6" spans="1:12" s="37" customFormat="1">
      <c r="A6" s="50">
        <v>5</v>
      </c>
      <c r="B6" s="49">
        <v>45468</v>
      </c>
      <c r="C6" s="50" t="s">
        <v>124</v>
      </c>
      <c r="D6" s="50" t="s">
        <v>125</v>
      </c>
      <c r="E6" s="51">
        <v>15000</v>
      </c>
      <c r="F6" s="51"/>
      <c r="G6" s="50" t="s">
        <v>119</v>
      </c>
      <c r="H6" s="50">
        <v>4.8</v>
      </c>
      <c r="I6" s="50" t="s">
        <v>125</v>
      </c>
    </row>
    <row r="7" spans="1:12" s="37" customFormat="1">
      <c r="A7" s="50">
        <v>6</v>
      </c>
      <c r="B7" s="49">
        <v>45465</v>
      </c>
      <c r="C7" s="50" t="s">
        <v>124</v>
      </c>
      <c r="D7" s="50" t="s">
        <v>125</v>
      </c>
      <c r="E7" s="51">
        <v>3000</v>
      </c>
      <c r="F7" s="51"/>
      <c r="G7" s="50" t="s">
        <v>119</v>
      </c>
      <c r="H7" s="50">
        <v>4.8</v>
      </c>
      <c r="I7" s="50" t="s">
        <v>125</v>
      </c>
    </row>
    <row r="8" spans="1:12">
      <c r="A8" s="54">
        <v>7</v>
      </c>
      <c r="B8" s="55">
        <v>45447</v>
      </c>
      <c r="C8" s="54" t="s">
        <v>126</v>
      </c>
      <c r="D8" s="54" t="s">
        <v>127</v>
      </c>
      <c r="E8" s="56">
        <v>20000</v>
      </c>
      <c r="F8" s="56"/>
      <c r="G8" s="54" t="s">
        <v>119</v>
      </c>
      <c r="H8" s="54"/>
      <c r="I8" s="54" t="s">
        <v>128</v>
      </c>
      <c r="K8" s="31">
        <v>17356.96</v>
      </c>
      <c r="L8" s="46">
        <f>+K8-E8</f>
        <v>-2643.0400000000009</v>
      </c>
    </row>
    <row r="9" spans="1:12" s="47" customFormat="1">
      <c r="A9" s="58">
        <v>8</v>
      </c>
      <c r="B9" s="59">
        <v>45454</v>
      </c>
      <c r="C9" s="58" t="s">
        <v>129</v>
      </c>
      <c r="D9" s="58" t="s">
        <v>130</v>
      </c>
      <c r="E9" s="61"/>
      <c r="F9" s="60">
        <v>5000</v>
      </c>
      <c r="G9" s="58" t="s">
        <v>114</v>
      </c>
      <c r="H9" s="58">
        <v>1.39</v>
      </c>
      <c r="I9" s="58" t="s">
        <v>131</v>
      </c>
    </row>
    <row r="10" spans="1:12">
      <c r="A10" s="54">
        <v>9</v>
      </c>
      <c r="B10" s="55">
        <v>45449</v>
      </c>
      <c r="C10" s="54" t="s">
        <v>132</v>
      </c>
      <c r="D10" s="54" t="s">
        <v>133</v>
      </c>
      <c r="E10" s="56">
        <v>3200</v>
      </c>
      <c r="F10" s="56"/>
      <c r="G10" s="54" t="s">
        <v>119</v>
      </c>
      <c r="H10" s="54"/>
      <c r="I10" s="54" t="s">
        <v>128</v>
      </c>
    </row>
    <row r="11" spans="1:12">
      <c r="A11" s="54">
        <v>10</v>
      </c>
      <c r="B11" s="55">
        <v>45444</v>
      </c>
      <c r="C11" s="54" t="s">
        <v>126</v>
      </c>
      <c r="D11" s="54" t="s">
        <v>127</v>
      </c>
      <c r="E11" s="56">
        <v>10000</v>
      </c>
      <c r="F11" s="56"/>
      <c r="G11" s="54" t="s">
        <v>119</v>
      </c>
      <c r="H11" s="54"/>
      <c r="I11" s="54" t="s">
        <v>128</v>
      </c>
    </row>
    <row r="12" spans="1:12" s="37" customFormat="1">
      <c r="A12" s="50">
        <v>11</v>
      </c>
      <c r="B12" s="49">
        <v>45444</v>
      </c>
      <c r="C12" s="50" t="s">
        <v>134</v>
      </c>
      <c r="D12" s="50" t="s">
        <v>135</v>
      </c>
      <c r="E12" s="51">
        <v>9363.9699999999993</v>
      </c>
      <c r="F12" s="51"/>
      <c r="G12" s="50" t="s">
        <v>136</v>
      </c>
      <c r="H12" s="50"/>
      <c r="I12" s="50" t="s">
        <v>137</v>
      </c>
      <c r="J12" s="39"/>
    </row>
    <row r="13" spans="1:12" s="37" customFormat="1">
      <c r="A13" s="50">
        <v>12</v>
      </c>
      <c r="B13" s="49">
        <v>45463</v>
      </c>
      <c r="C13" s="50" t="s">
        <v>138</v>
      </c>
      <c r="D13" s="50" t="s">
        <v>139</v>
      </c>
      <c r="E13" s="51"/>
      <c r="F13" s="51">
        <v>3724.49</v>
      </c>
      <c r="G13" s="50" t="s">
        <v>114</v>
      </c>
      <c r="H13" s="50"/>
      <c r="I13" s="50" t="s">
        <v>140</v>
      </c>
    </row>
    <row r="14" spans="1:12" s="37" customFormat="1">
      <c r="A14" s="50">
        <v>13</v>
      </c>
      <c r="B14" s="49">
        <v>45468</v>
      </c>
      <c r="C14" s="50" t="s">
        <v>141</v>
      </c>
      <c r="D14" s="50" t="s">
        <v>142</v>
      </c>
      <c r="E14" s="51">
        <v>3000</v>
      </c>
      <c r="F14" s="50"/>
      <c r="G14" s="50" t="s">
        <v>119</v>
      </c>
      <c r="H14" s="50"/>
      <c r="I14" s="50" t="s">
        <v>143</v>
      </c>
    </row>
    <row r="15" spans="1:12" s="37" customFormat="1">
      <c r="A15" s="50">
        <v>14</v>
      </c>
      <c r="B15" s="49">
        <v>45448</v>
      </c>
      <c r="C15" s="50" t="s">
        <v>144</v>
      </c>
      <c r="D15" s="50" t="s">
        <v>142</v>
      </c>
      <c r="E15" s="51">
        <v>2000</v>
      </c>
      <c r="F15" s="50"/>
      <c r="G15" s="50" t="s">
        <v>119</v>
      </c>
      <c r="H15" s="50"/>
      <c r="I15" s="50" t="s">
        <v>145</v>
      </c>
    </row>
    <row r="16" spans="1:12" s="37" customFormat="1">
      <c r="A16" s="50">
        <v>15</v>
      </c>
      <c r="B16" s="49">
        <v>45455</v>
      </c>
      <c r="C16" s="50" t="s">
        <v>146</v>
      </c>
      <c r="D16" s="50" t="s">
        <v>142</v>
      </c>
      <c r="E16" s="51">
        <v>2000</v>
      </c>
      <c r="F16" s="50"/>
      <c r="G16" s="50" t="s">
        <v>119</v>
      </c>
      <c r="H16" s="50"/>
      <c r="I16" s="50" t="s">
        <v>147</v>
      </c>
    </row>
    <row r="17" spans="1:9" s="37" customFormat="1">
      <c r="A17" s="50">
        <v>16</v>
      </c>
      <c r="B17" s="49">
        <v>45462</v>
      </c>
      <c r="C17" s="50" t="s">
        <v>148</v>
      </c>
      <c r="D17" s="50" t="s">
        <v>142</v>
      </c>
      <c r="E17" s="51">
        <v>2600</v>
      </c>
      <c r="F17" s="50"/>
      <c r="G17" s="50" t="s">
        <v>119</v>
      </c>
      <c r="H17" s="50"/>
      <c r="I17" s="50" t="s">
        <v>149</v>
      </c>
    </row>
    <row r="18" spans="1:9" s="37" customFormat="1">
      <c r="A18" s="50">
        <v>17</v>
      </c>
      <c r="B18" s="49">
        <v>45453</v>
      </c>
      <c r="C18" s="50" t="s">
        <v>150</v>
      </c>
      <c r="D18" s="50" t="s">
        <v>151</v>
      </c>
      <c r="E18" s="51">
        <v>200</v>
      </c>
      <c r="F18" s="50"/>
      <c r="G18" s="50" t="s">
        <v>136</v>
      </c>
      <c r="H18" s="50"/>
      <c r="I18" s="50" t="s">
        <v>145</v>
      </c>
    </row>
    <row r="19" spans="1:9" s="37" customFormat="1">
      <c r="A19" s="50">
        <v>18</v>
      </c>
      <c r="B19" s="49">
        <v>45462</v>
      </c>
      <c r="C19" s="50" t="s">
        <v>152</v>
      </c>
      <c r="D19" s="50" t="s">
        <v>151</v>
      </c>
      <c r="E19" s="51">
        <v>200</v>
      </c>
      <c r="F19" s="50"/>
      <c r="G19" s="50" t="s">
        <v>136</v>
      </c>
      <c r="H19" s="50"/>
      <c r="I19" s="50" t="s">
        <v>145</v>
      </c>
    </row>
    <row r="20" spans="1:9" s="37" customFormat="1">
      <c r="A20" s="50">
        <v>19</v>
      </c>
      <c r="B20" s="49">
        <v>45465</v>
      </c>
      <c r="C20" s="50" t="s">
        <v>153</v>
      </c>
      <c r="D20" s="50" t="s">
        <v>151</v>
      </c>
      <c r="E20" s="51">
        <v>1500</v>
      </c>
      <c r="F20" s="50"/>
      <c r="G20" s="50" t="s">
        <v>136</v>
      </c>
      <c r="H20" s="50"/>
      <c r="I20" s="50" t="s">
        <v>145</v>
      </c>
    </row>
    <row r="21" spans="1:9" s="37" customFormat="1">
      <c r="A21" s="50">
        <v>20</v>
      </c>
      <c r="B21" s="49">
        <v>45454</v>
      </c>
      <c r="C21" s="50" t="s">
        <v>154</v>
      </c>
      <c r="D21" s="50" t="s">
        <v>142</v>
      </c>
      <c r="E21" s="51">
        <v>3000</v>
      </c>
      <c r="F21" s="50"/>
      <c r="G21" s="50" t="s">
        <v>119</v>
      </c>
      <c r="H21" s="50"/>
      <c r="I21" s="50" t="s">
        <v>155</v>
      </c>
    </row>
    <row r="22" spans="1:9">
      <c r="A22" s="54">
        <v>21</v>
      </c>
      <c r="B22" s="55">
        <v>45444</v>
      </c>
      <c r="C22" s="54" t="s">
        <v>156</v>
      </c>
      <c r="D22" s="54" t="s">
        <v>157</v>
      </c>
      <c r="E22" s="56">
        <v>1911.6</v>
      </c>
      <c r="F22" s="56"/>
      <c r="G22" s="54" t="s">
        <v>119</v>
      </c>
      <c r="H22" s="54"/>
      <c r="I22" s="54"/>
    </row>
    <row r="23" spans="1:9">
      <c r="A23" s="54">
        <v>22</v>
      </c>
      <c r="B23" s="55">
        <v>45448</v>
      </c>
      <c r="C23" s="54" t="s">
        <v>158</v>
      </c>
      <c r="D23" s="54" t="s">
        <v>159</v>
      </c>
      <c r="E23" s="56">
        <v>4725</v>
      </c>
      <c r="F23" s="56"/>
      <c r="G23" s="54" t="s">
        <v>119</v>
      </c>
      <c r="H23" s="54">
        <v>4.8</v>
      </c>
      <c r="I23" s="54"/>
    </row>
    <row r="24" spans="1:9" s="37" customFormat="1">
      <c r="A24" s="50">
        <v>23</v>
      </c>
      <c r="B24" s="49">
        <v>45444</v>
      </c>
      <c r="C24" s="50" t="s">
        <v>160</v>
      </c>
      <c r="D24" s="50" t="s">
        <v>161</v>
      </c>
      <c r="E24" s="51">
        <v>947.4</v>
      </c>
      <c r="F24" s="51"/>
      <c r="G24" s="50" t="s">
        <v>136</v>
      </c>
      <c r="H24" s="50"/>
      <c r="I24" s="50" t="s">
        <v>162</v>
      </c>
    </row>
    <row r="25" spans="1:9" s="37" customFormat="1">
      <c r="A25" s="50">
        <v>24</v>
      </c>
      <c r="B25" s="49">
        <v>45444</v>
      </c>
      <c r="C25" s="50" t="s">
        <v>163</v>
      </c>
      <c r="D25" s="50" t="s">
        <v>164</v>
      </c>
      <c r="E25" s="51">
        <v>947.4</v>
      </c>
      <c r="F25" s="51"/>
      <c r="G25" s="50" t="s">
        <v>136</v>
      </c>
      <c r="H25" s="50"/>
      <c r="I25" s="50" t="s">
        <v>162</v>
      </c>
    </row>
    <row r="26" spans="1:9" s="37" customFormat="1">
      <c r="A26" s="50">
        <v>25</v>
      </c>
      <c r="B26" s="49">
        <v>45444</v>
      </c>
      <c r="C26" s="50" t="s">
        <v>165</v>
      </c>
      <c r="D26" s="50" t="s">
        <v>166</v>
      </c>
      <c r="E26" s="51">
        <v>947.4</v>
      </c>
      <c r="F26" s="51"/>
      <c r="G26" s="50" t="s">
        <v>136</v>
      </c>
      <c r="H26" s="50"/>
      <c r="I26" s="50" t="s">
        <v>162</v>
      </c>
    </row>
    <row r="27" spans="1:9" s="37" customFormat="1">
      <c r="A27" s="50">
        <v>26</v>
      </c>
      <c r="B27" s="49">
        <v>45444</v>
      </c>
      <c r="C27" s="50" t="s">
        <v>167</v>
      </c>
      <c r="D27" s="50" t="s">
        <v>168</v>
      </c>
      <c r="E27" s="51">
        <v>947.4</v>
      </c>
      <c r="F27" s="51"/>
      <c r="G27" s="50" t="s">
        <v>136</v>
      </c>
      <c r="H27" s="50"/>
      <c r="I27" s="50" t="s">
        <v>162</v>
      </c>
    </row>
    <row r="28" spans="1:9" s="37" customFormat="1">
      <c r="A28" s="50">
        <v>27</v>
      </c>
      <c r="B28" s="49">
        <v>45444</v>
      </c>
      <c r="C28" s="50" t="s">
        <v>169</v>
      </c>
      <c r="D28" s="50" t="s">
        <v>170</v>
      </c>
      <c r="E28" s="51">
        <v>947.4</v>
      </c>
      <c r="F28" s="51"/>
      <c r="G28" s="50" t="s">
        <v>119</v>
      </c>
      <c r="H28" s="50"/>
      <c r="I28" s="50" t="s">
        <v>162</v>
      </c>
    </row>
    <row r="29" spans="1:9">
      <c r="A29" s="54">
        <v>28</v>
      </c>
      <c r="B29" s="55">
        <v>45453</v>
      </c>
      <c r="C29" s="54" t="s">
        <v>171</v>
      </c>
      <c r="D29" s="54" t="s">
        <v>172</v>
      </c>
      <c r="E29" s="56">
        <v>900</v>
      </c>
      <c r="F29" s="56"/>
      <c r="G29" s="54" t="s">
        <v>119</v>
      </c>
      <c r="H29" s="54"/>
      <c r="I29" s="54"/>
    </row>
    <row r="30" spans="1:9" s="37" customFormat="1">
      <c r="A30" s="50">
        <v>29</v>
      </c>
      <c r="B30" s="49">
        <v>45453</v>
      </c>
      <c r="C30" s="50" t="s">
        <v>173</v>
      </c>
      <c r="D30" s="50" t="s">
        <v>174</v>
      </c>
      <c r="E30" s="51">
        <v>228</v>
      </c>
      <c r="F30" s="51"/>
      <c r="G30" s="50" t="s">
        <v>119</v>
      </c>
      <c r="H30" s="50"/>
      <c r="I30" s="50" t="s">
        <v>175</v>
      </c>
    </row>
    <row r="31" spans="1:9" s="37" customFormat="1">
      <c r="A31" s="50">
        <v>30</v>
      </c>
      <c r="B31" s="49">
        <v>45444</v>
      </c>
      <c r="C31" s="50" t="s">
        <v>176</v>
      </c>
      <c r="D31" s="50" t="s">
        <v>177</v>
      </c>
      <c r="E31" s="51">
        <v>24048.93</v>
      </c>
      <c r="F31" s="51"/>
      <c r="G31" s="50" t="s">
        <v>119</v>
      </c>
      <c r="H31" s="50"/>
      <c r="I31" s="50" t="s">
        <v>178</v>
      </c>
    </row>
    <row r="32" spans="1:9" s="47" customFormat="1">
      <c r="A32" s="58">
        <v>31</v>
      </c>
      <c r="B32" s="59">
        <v>45449</v>
      </c>
      <c r="C32" s="58" t="s">
        <v>179</v>
      </c>
      <c r="D32" s="58" t="s">
        <v>180</v>
      </c>
      <c r="E32" s="60"/>
      <c r="F32" s="60">
        <v>15395.55</v>
      </c>
      <c r="G32" s="58" t="s">
        <v>114</v>
      </c>
      <c r="H32" s="58"/>
      <c r="I32" s="58"/>
    </row>
    <row r="33" spans="1:9">
      <c r="A33" s="54">
        <v>32</v>
      </c>
      <c r="B33" s="55">
        <v>45446</v>
      </c>
      <c r="C33" s="54" t="s">
        <v>181</v>
      </c>
      <c r="D33" s="54" t="s">
        <v>182</v>
      </c>
      <c r="E33" s="56">
        <v>5854.06</v>
      </c>
      <c r="F33" s="56"/>
      <c r="G33" s="54" t="s">
        <v>119</v>
      </c>
      <c r="H33" s="54"/>
      <c r="I33" s="54"/>
    </row>
    <row r="34" spans="1:9">
      <c r="A34" s="54">
        <v>33</v>
      </c>
      <c r="B34" s="55">
        <v>45447</v>
      </c>
      <c r="C34" s="54" t="s">
        <v>183</v>
      </c>
      <c r="D34" s="54" t="s">
        <v>184</v>
      </c>
      <c r="E34" s="56">
        <v>20200</v>
      </c>
      <c r="F34" s="56"/>
      <c r="G34" s="54" t="s">
        <v>119</v>
      </c>
      <c r="H34" s="54">
        <v>4.8</v>
      </c>
      <c r="I34" s="54"/>
    </row>
    <row r="35" spans="1:9" s="47" customFormat="1">
      <c r="A35" s="58">
        <v>34</v>
      </c>
      <c r="B35" s="59">
        <v>45449</v>
      </c>
      <c r="C35" s="58" t="s">
        <v>185</v>
      </c>
      <c r="D35" s="58" t="s">
        <v>122</v>
      </c>
      <c r="E35" s="58"/>
      <c r="F35" s="60">
        <v>6519.12</v>
      </c>
      <c r="G35" s="58" t="s">
        <v>114</v>
      </c>
      <c r="H35" s="58">
        <v>1.39</v>
      </c>
      <c r="I35" s="58" t="s">
        <v>186</v>
      </c>
    </row>
    <row r="36" spans="1:9" s="37" customFormat="1">
      <c r="A36" s="50">
        <v>35</v>
      </c>
      <c r="B36" s="49">
        <v>45453</v>
      </c>
      <c r="C36" s="50" t="s">
        <v>187</v>
      </c>
      <c r="D36" s="50" t="s">
        <v>188</v>
      </c>
      <c r="E36" s="51">
        <v>1936.62</v>
      </c>
      <c r="F36" s="51"/>
      <c r="G36" s="50" t="s">
        <v>119</v>
      </c>
      <c r="H36" s="50"/>
      <c r="I36" s="50" t="s">
        <v>189</v>
      </c>
    </row>
    <row r="37" spans="1:9" s="37" customFormat="1">
      <c r="A37" s="50">
        <v>36</v>
      </c>
      <c r="B37" s="49">
        <v>45462</v>
      </c>
      <c r="C37" s="50" t="s">
        <v>190</v>
      </c>
      <c r="D37" s="50" t="s">
        <v>188</v>
      </c>
      <c r="E37" s="51">
        <v>269.04000000000002</v>
      </c>
      <c r="F37" s="51"/>
      <c r="G37" s="50" t="s">
        <v>119</v>
      </c>
      <c r="H37" s="50"/>
      <c r="I37" s="50" t="s">
        <v>191</v>
      </c>
    </row>
    <row r="38" spans="1:9">
      <c r="A38" s="54">
        <v>37</v>
      </c>
      <c r="B38" s="55">
        <v>45462</v>
      </c>
      <c r="C38" s="54" t="s">
        <v>192</v>
      </c>
      <c r="D38" s="54" t="s">
        <v>193</v>
      </c>
      <c r="E38" s="56">
        <v>324.74</v>
      </c>
      <c r="F38" s="56"/>
      <c r="G38" s="54" t="s">
        <v>119</v>
      </c>
      <c r="H38" s="54"/>
      <c r="I38" s="54" t="s">
        <v>128</v>
      </c>
    </row>
    <row r="39" spans="1:9" s="37" customFormat="1">
      <c r="A39" s="50">
        <v>38</v>
      </c>
      <c r="B39" s="49">
        <v>45453</v>
      </c>
      <c r="C39" s="50" t="s">
        <v>194</v>
      </c>
      <c r="D39" s="50" t="s">
        <v>193</v>
      </c>
      <c r="E39" s="51">
        <v>1866.76</v>
      </c>
      <c r="F39" s="50"/>
      <c r="G39" s="50" t="s">
        <v>119</v>
      </c>
      <c r="H39" s="50"/>
      <c r="I39" s="50" t="s">
        <v>195</v>
      </c>
    </row>
    <row r="40" spans="1:9">
      <c r="A40" s="54">
        <v>39</v>
      </c>
      <c r="B40" s="55">
        <v>45453</v>
      </c>
      <c r="C40" s="54" t="s">
        <v>196</v>
      </c>
      <c r="D40" s="54" t="s">
        <v>197</v>
      </c>
      <c r="E40" s="56">
        <v>300</v>
      </c>
      <c r="F40" s="56"/>
      <c r="G40" s="54" t="s">
        <v>119</v>
      </c>
      <c r="H40" s="54"/>
      <c r="I40" s="54"/>
    </row>
    <row r="41" spans="1:9">
      <c r="A41" s="54">
        <v>40</v>
      </c>
      <c r="B41" s="55">
        <v>45446</v>
      </c>
      <c r="C41" s="54" t="s">
        <v>198</v>
      </c>
      <c r="D41" s="54" t="s">
        <v>127</v>
      </c>
      <c r="E41" s="56">
        <v>3000</v>
      </c>
      <c r="F41" s="56"/>
      <c r="G41" s="54" t="s">
        <v>119</v>
      </c>
      <c r="H41" s="54"/>
      <c r="I41" s="54" t="s">
        <v>199</v>
      </c>
    </row>
    <row r="42" spans="1:9" s="47" customFormat="1">
      <c r="A42" s="58">
        <v>41</v>
      </c>
      <c r="B42" s="59">
        <v>45454</v>
      </c>
      <c r="C42" s="58" t="s">
        <v>200</v>
      </c>
      <c r="D42" s="58" t="s">
        <v>200</v>
      </c>
      <c r="E42" s="58"/>
      <c r="F42" s="60">
        <v>1512</v>
      </c>
      <c r="G42" s="58" t="s">
        <v>114</v>
      </c>
      <c r="H42" s="58"/>
      <c r="I42" s="58" t="s">
        <v>201</v>
      </c>
    </row>
    <row r="43" spans="1:9">
      <c r="A43" s="54">
        <v>42</v>
      </c>
      <c r="B43" s="55">
        <v>45461</v>
      </c>
      <c r="C43" s="54" t="s">
        <v>202</v>
      </c>
      <c r="D43" s="54" t="s">
        <v>203</v>
      </c>
      <c r="E43" s="56">
        <v>313</v>
      </c>
      <c r="F43" s="56"/>
      <c r="G43" s="54" t="s">
        <v>136</v>
      </c>
      <c r="H43" s="54"/>
      <c r="I43" s="54" t="s">
        <v>204</v>
      </c>
    </row>
    <row r="44" spans="1:9">
      <c r="A44" s="54">
        <v>43</v>
      </c>
      <c r="B44" s="55">
        <v>45461</v>
      </c>
      <c r="C44" s="54" t="s">
        <v>205</v>
      </c>
      <c r="D44" s="54" t="s">
        <v>203</v>
      </c>
      <c r="E44" s="56">
        <v>2925.45</v>
      </c>
      <c r="F44" s="56"/>
      <c r="G44" s="54" t="s">
        <v>136</v>
      </c>
      <c r="H44" s="54"/>
      <c r="I44" s="54" t="s">
        <v>204</v>
      </c>
    </row>
    <row r="45" spans="1:9">
      <c r="A45" s="54">
        <v>44</v>
      </c>
      <c r="B45" s="55">
        <v>45461</v>
      </c>
      <c r="C45" s="54" t="s">
        <v>206</v>
      </c>
      <c r="D45" s="54" t="s">
        <v>203</v>
      </c>
      <c r="E45" s="56">
        <v>77.400000000000006</v>
      </c>
      <c r="F45" s="56"/>
      <c r="G45" s="54" t="s">
        <v>136</v>
      </c>
      <c r="H45" s="54"/>
      <c r="I45" s="54" t="s">
        <v>204</v>
      </c>
    </row>
    <row r="46" spans="1:9" s="37" customFormat="1">
      <c r="A46" s="50">
        <v>45</v>
      </c>
      <c r="B46" s="49">
        <v>45461</v>
      </c>
      <c r="C46" s="50" t="s">
        <v>207</v>
      </c>
      <c r="D46" s="50" t="s">
        <v>203</v>
      </c>
      <c r="E46" s="51">
        <v>59.9</v>
      </c>
      <c r="F46" s="50"/>
      <c r="G46" s="50" t="s">
        <v>136</v>
      </c>
      <c r="H46" s="50"/>
      <c r="I46" s="50" t="s">
        <v>208</v>
      </c>
    </row>
    <row r="47" spans="1:9">
      <c r="A47" s="54">
        <v>46</v>
      </c>
      <c r="B47" s="55">
        <v>45461</v>
      </c>
      <c r="C47" s="54" t="s">
        <v>209</v>
      </c>
      <c r="D47" s="54" t="s">
        <v>203</v>
      </c>
      <c r="E47" s="56">
        <v>50</v>
      </c>
      <c r="F47" s="56"/>
      <c r="G47" s="54" t="s">
        <v>136</v>
      </c>
      <c r="H47" s="54"/>
      <c r="I47" s="54" t="s">
        <v>204</v>
      </c>
    </row>
    <row r="48" spans="1:9">
      <c r="A48" s="54">
        <v>47</v>
      </c>
      <c r="B48" s="55">
        <v>45468</v>
      </c>
      <c r="C48" s="54" t="s">
        <v>210</v>
      </c>
      <c r="D48" s="54" t="s">
        <v>211</v>
      </c>
      <c r="E48" s="56">
        <v>6485.85</v>
      </c>
      <c r="F48" s="56"/>
      <c r="G48" s="54" t="s">
        <v>119</v>
      </c>
      <c r="H48" s="54"/>
      <c r="I48" s="54" t="s">
        <v>212</v>
      </c>
    </row>
    <row r="49" spans="1:9" s="37" customFormat="1">
      <c r="A49" s="50">
        <v>48</v>
      </c>
      <c r="B49" s="49">
        <v>45468</v>
      </c>
      <c r="C49" s="50" t="s">
        <v>213</v>
      </c>
      <c r="D49" s="50" t="s">
        <v>214</v>
      </c>
      <c r="E49" s="51">
        <v>12859.12</v>
      </c>
      <c r="F49" s="51"/>
      <c r="G49" s="50" t="s">
        <v>119</v>
      </c>
      <c r="H49" s="50"/>
      <c r="I49" s="50" t="s">
        <v>215</v>
      </c>
    </row>
    <row r="50" spans="1:9" s="37" customFormat="1">
      <c r="A50" s="50">
        <v>49</v>
      </c>
      <c r="B50" s="49">
        <v>45468</v>
      </c>
      <c r="C50" s="50" t="s">
        <v>216</v>
      </c>
      <c r="D50" s="50" t="s">
        <v>216</v>
      </c>
      <c r="E50" s="51">
        <v>4779</v>
      </c>
      <c r="F50" s="51"/>
      <c r="G50" s="50" t="s">
        <v>119</v>
      </c>
      <c r="H50" s="50"/>
      <c r="I50" s="50" t="s">
        <v>217</v>
      </c>
    </row>
    <row r="51" spans="1:9">
      <c r="A51" s="54">
        <v>50</v>
      </c>
      <c r="B51" s="55">
        <v>45468</v>
      </c>
      <c r="C51" s="54" t="s">
        <v>218</v>
      </c>
      <c r="D51" s="54" t="s">
        <v>219</v>
      </c>
      <c r="E51" s="56">
        <v>467</v>
      </c>
      <c r="F51" s="56"/>
      <c r="G51" s="54" t="s">
        <v>119</v>
      </c>
      <c r="H51" s="54"/>
      <c r="I51" s="54" t="s">
        <v>128</v>
      </c>
    </row>
    <row r="52" spans="1:9" s="37" customFormat="1">
      <c r="A52" s="50">
        <v>51</v>
      </c>
      <c r="B52" s="49">
        <v>45468</v>
      </c>
      <c r="C52" s="50" t="s">
        <v>218</v>
      </c>
      <c r="D52" s="50" t="s">
        <v>219</v>
      </c>
      <c r="E52" s="51">
        <v>3759.2</v>
      </c>
      <c r="F52" s="51"/>
      <c r="G52" s="50" t="s">
        <v>119</v>
      </c>
      <c r="H52" s="50"/>
      <c r="I52" s="50" t="s">
        <v>220</v>
      </c>
    </row>
    <row r="53" spans="1:9">
      <c r="A53" s="54">
        <v>52</v>
      </c>
      <c r="B53" s="55">
        <v>45468</v>
      </c>
      <c r="C53" s="54" t="s">
        <v>221</v>
      </c>
      <c r="D53" s="54" t="s">
        <v>222</v>
      </c>
      <c r="E53" s="56">
        <v>600</v>
      </c>
      <c r="F53" s="56"/>
      <c r="G53" s="54" t="s">
        <v>119</v>
      </c>
      <c r="H53" s="54"/>
      <c r="I53" s="54" t="s">
        <v>128</v>
      </c>
    </row>
    <row r="54" spans="1:9" s="37" customFormat="1">
      <c r="A54" s="50">
        <v>53</v>
      </c>
      <c r="B54" s="49">
        <v>45468</v>
      </c>
      <c r="C54" s="50" t="s">
        <v>170</v>
      </c>
      <c r="D54" s="50" t="s">
        <v>170</v>
      </c>
      <c r="E54" s="51">
        <v>147</v>
      </c>
      <c r="F54" s="51"/>
      <c r="G54" s="50" t="s">
        <v>119</v>
      </c>
      <c r="H54" s="50"/>
      <c r="I54" s="50" t="s">
        <v>223</v>
      </c>
    </row>
    <row r="55" spans="1:9" s="37" customFormat="1">
      <c r="A55" s="50">
        <v>54</v>
      </c>
      <c r="B55" s="49">
        <v>45468</v>
      </c>
      <c r="C55" s="50" t="s">
        <v>170</v>
      </c>
      <c r="D55" s="50" t="s">
        <v>170</v>
      </c>
      <c r="E55" s="51">
        <v>147</v>
      </c>
      <c r="F55" s="51"/>
      <c r="G55" s="50" t="s">
        <v>119</v>
      </c>
      <c r="H55" s="50"/>
      <c r="I55" s="50"/>
    </row>
    <row r="56" spans="1:9">
      <c r="A56" s="54">
        <v>55</v>
      </c>
      <c r="B56" s="55">
        <v>45468</v>
      </c>
      <c r="C56" s="54" t="s">
        <v>224</v>
      </c>
      <c r="D56" s="54" t="s">
        <v>224</v>
      </c>
      <c r="E56" s="56">
        <v>4345.49</v>
      </c>
      <c r="F56" s="56"/>
      <c r="G56" s="54" t="s">
        <v>136</v>
      </c>
      <c r="H56" s="54"/>
      <c r="I56" s="54" t="s">
        <v>128</v>
      </c>
    </row>
    <row r="57" spans="1:9" s="37" customFormat="1">
      <c r="A57" s="50">
        <v>56</v>
      </c>
      <c r="B57" s="49">
        <v>45468</v>
      </c>
      <c r="C57" s="50" t="s">
        <v>225</v>
      </c>
      <c r="D57" s="50" t="s">
        <v>225</v>
      </c>
      <c r="E57" s="51">
        <v>147</v>
      </c>
      <c r="F57" s="51"/>
      <c r="G57" s="50" t="s">
        <v>136</v>
      </c>
      <c r="H57" s="50"/>
      <c r="I57" s="50" t="s">
        <v>223</v>
      </c>
    </row>
    <row r="58" spans="1:9" s="37" customFormat="1">
      <c r="A58" s="50">
        <v>57</v>
      </c>
      <c r="B58" s="49">
        <v>45468</v>
      </c>
      <c r="C58" s="50" t="s">
        <v>226</v>
      </c>
      <c r="D58" s="50" t="s">
        <v>226</v>
      </c>
      <c r="E58" s="51">
        <v>147</v>
      </c>
      <c r="F58" s="51"/>
      <c r="G58" s="50" t="s">
        <v>136</v>
      </c>
      <c r="H58" s="50"/>
      <c r="I58" s="50" t="s">
        <v>223</v>
      </c>
    </row>
    <row r="59" spans="1:9" s="37" customFormat="1">
      <c r="A59" s="50">
        <v>58</v>
      </c>
      <c r="B59" s="49">
        <v>45468</v>
      </c>
      <c r="C59" s="50" t="s">
        <v>161</v>
      </c>
      <c r="D59" s="50" t="s">
        <v>161</v>
      </c>
      <c r="E59" s="51">
        <v>147</v>
      </c>
      <c r="F59" s="51"/>
      <c r="G59" s="50" t="s">
        <v>136</v>
      </c>
      <c r="H59" s="50"/>
      <c r="I59" s="50" t="s">
        <v>223</v>
      </c>
    </row>
    <row r="60" spans="1:9" s="37" customFormat="1">
      <c r="A60" s="50">
        <v>59</v>
      </c>
      <c r="B60" s="49">
        <v>45468</v>
      </c>
      <c r="C60" s="50" t="s">
        <v>168</v>
      </c>
      <c r="D60" s="50" t="s">
        <v>168</v>
      </c>
      <c r="E60" s="51">
        <v>147</v>
      </c>
      <c r="F60" s="51"/>
      <c r="G60" s="50" t="s">
        <v>136</v>
      </c>
      <c r="H60" s="50"/>
      <c r="I60" s="50" t="s">
        <v>223</v>
      </c>
    </row>
    <row r="61" spans="1:9" s="37" customFormat="1">
      <c r="A61" s="50">
        <v>60</v>
      </c>
      <c r="B61" s="49">
        <v>45468</v>
      </c>
      <c r="C61" s="50" t="s">
        <v>227</v>
      </c>
      <c r="D61" s="50" t="s">
        <v>228</v>
      </c>
      <c r="E61" s="51">
        <v>7476</v>
      </c>
      <c r="F61" s="51"/>
      <c r="G61" s="50" t="s">
        <v>119</v>
      </c>
      <c r="H61" s="50"/>
      <c r="I61" s="50" t="s">
        <v>120</v>
      </c>
    </row>
    <row r="62" spans="1:9" s="37" customFormat="1">
      <c r="A62" s="50">
        <v>61</v>
      </c>
      <c r="B62" s="49">
        <v>45468</v>
      </c>
      <c r="C62" s="50" t="s">
        <v>229</v>
      </c>
      <c r="D62" s="50" t="s">
        <v>230</v>
      </c>
      <c r="E62" s="51">
        <v>9363.86</v>
      </c>
      <c r="F62" s="51"/>
      <c r="G62" s="50" t="s">
        <v>136</v>
      </c>
      <c r="H62" s="50"/>
      <c r="I62" s="50" t="s">
        <v>137</v>
      </c>
    </row>
    <row r="63" spans="1:9">
      <c r="A63" s="54">
        <v>62</v>
      </c>
      <c r="B63" s="55">
        <v>45468</v>
      </c>
      <c r="C63" s="54" t="s">
        <v>231</v>
      </c>
      <c r="D63" s="54" t="s">
        <v>232</v>
      </c>
      <c r="E63" s="56">
        <v>525</v>
      </c>
      <c r="F63" s="56"/>
      <c r="G63" s="54" t="s">
        <v>136</v>
      </c>
      <c r="H63" s="54"/>
      <c r="I63" s="54" t="s">
        <v>128</v>
      </c>
    </row>
    <row r="64" spans="1:9" s="37" customFormat="1">
      <c r="A64" s="50">
        <v>63</v>
      </c>
      <c r="B64" s="49">
        <v>45468</v>
      </c>
      <c r="C64" s="50" t="s">
        <v>233</v>
      </c>
      <c r="D64" s="50" t="s">
        <v>225</v>
      </c>
      <c r="E64" s="51">
        <v>147</v>
      </c>
      <c r="F64" s="51"/>
      <c r="G64" s="50" t="s">
        <v>136</v>
      </c>
      <c r="H64" s="50"/>
      <c r="I64" s="50" t="s">
        <v>223</v>
      </c>
    </row>
    <row r="65" spans="1:9" s="37" customFormat="1">
      <c r="A65" s="50">
        <v>64</v>
      </c>
      <c r="B65" s="49">
        <v>45468</v>
      </c>
      <c r="C65" s="50" t="s">
        <v>233</v>
      </c>
      <c r="D65" s="50" t="s">
        <v>226</v>
      </c>
      <c r="E65" s="51">
        <v>147</v>
      </c>
      <c r="F65" s="51"/>
      <c r="G65" s="50" t="s">
        <v>136</v>
      </c>
      <c r="H65" s="50"/>
      <c r="I65" s="50" t="s">
        <v>223</v>
      </c>
    </row>
    <row r="66" spans="1:9" s="37" customFormat="1">
      <c r="A66" s="50">
        <v>65</v>
      </c>
      <c r="B66" s="49">
        <v>45468</v>
      </c>
      <c r="C66" s="50" t="s">
        <v>233</v>
      </c>
      <c r="D66" s="50" t="s">
        <v>234</v>
      </c>
      <c r="E66" s="51">
        <v>147</v>
      </c>
      <c r="F66" s="51"/>
      <c r="G66" s="50" t="s">
        <v>136</v>
      </c>
      <c r="H66" s="50"/>
      <c r="I66" s="50" t="s">
        <v>223</v>
      </c>
    </row>
    <row r="67" spans="1:9" s="37" customFormat="1">
      <c r="A67" s="50">
        <v>66</v>
      </c>
      <c r="B67" s="49">
        <v>45468</v>
      </c>
      <c r="C67" s="50" t="s">
        <v>233</v>
      </c>
      <c r="D67" s="50" t="s">
        <v>168</v>
      </c>
      <c r="E67" s="51">
        <v>147</v>
      </c>
      <c r="F67" s="51"/>
      <c r="G67" s="50" t="s">
        <v>136</v>
      </c>
      <c r="H67" s="50"/>
      <c r="I67" s="50" t="s">
        <v>223</v>
      </c>
    </row>
    <row r="68" spans="1:9" s="37" customFormat="1">
      <c r="A68" s="50">
        <v>67</v>
      </c>
      <c r="B68" s="49">
        <v>45444</v>
      </c>
      <c r="C68" s="50" t="s">
        <v>235</v>
      </c>
      <c r="D68" s="50" t="s">
        <v>236</v>
      </c>
      <c r="E68" s="51">
        <v>300</v>
      </c>
      <c r="F68" s="51"/>
      <c r="G68" s="50" t="s">
        <v>119</v>
      </c>
      <c r="H68" s="50"/>
      <c r="I68" s="50" t="s">
        <v>237</v>
      </c>
    </row>
    <row r="69" spans="1:9" s="37" customFormat="1">
      <c r="A69" s="50">
        <v>68</v>
      </c>
      <c r="B69" s="49">
        <v>45444</v>
      </c>
      <c r="C69" s="50" t="s">
        <v>238</v>
      </c>
      <c r="D69" s="50" t="s">
        <v>236</v>
      </c>
      <c r="E69" s="51">
        <v>60</v>
      </c>
      <c r="F69" s="51"/>
      <c r="G69" s="50" t="s">
        <v>119</v>
      </c>
      <c r="H69" s="50"/>
      <c r="I69" s="50" t="s">
        <v>237</v>
      </c>
    </row>
    <row r="70" spans="1:9" s="37" customFormat="1">
      <c r="A70" s="50">
        <v>69</v>
      </c>
      <c r="B70" s="49">
        <v>45465</v>
      </c>
      <c r="C70" s="50" t="s">
        <v>239</v>
      </c>
      <c r="D70" s="50" t="s">
        <v>240</v>
      </c>
      <c r="E70" s="51">
        <v>3483.33</v>
      </c>
      <c r="F70" s="50"/>
      <c r="G70" s="50" t="s">
        <v>119</v>
      </c>
      <c r="H70" s="50"/>
      <c r="I70" s="50" t="s">
        <v>241</v>
      </c>
    </row>
    <row r="71" spans="1:9" s="37" customFormat="1">
      <c r="A71" s="50">
        <v>70</v>
      </c>
      <c r="B71" s="49">
        <v>45465</v>
      </c>
      <c r="C71" s="50" t="s">
        <v>242</v>
      </c>
      <c r="D71" s="50" t="s">
        <v>243</v>
      </c>
      <c r="E71" s="51">
        <v>1319.78</v>
      </c>
      <c r="F71" s="50"/>
      <c r="G71" s="50" t="s">
        <v>119</v>
      </c>
      <c r="H71" s="50"/>
      <c r="I71" s="50" t="s">
        <v>244</v>
      </c>
    </row>
    <row r="72" spans="1:9" s="37" customFormat="1">
      <c r="A72" s="50">
        <v>71</v>
      </c>
      <c r="B72" s="49">
        <v>45454</v>
      </c>
      <c r="C72" s="50" t="s">
        <v>245</v>
      </c>
      <c r="D72" s="50" t="s">
        <v>246</v>
      </c>
      <c r="E72" s="51">
        <v>478.5</v>
      </c>
      <c r="F72" s="50"/>
      <c r="G72" s="50" t="s">
        <v>119</v>
      </c>
      <c r="H72" s="50"/>
      <c r="I72" s="50" t="s">
        <v>247</v>
      </c>
    </row>
    <row r="73" spans="1:9" s="37" customFormat="1">
      <c r="A73" s="50">
        <v>72</v>
      </c>
      <c r="B73" s="49">
        <v>45465</v>
      </c>
      <c r="C73" s="50" t="s">
        <v>248</v>
      </c>
      <c r="D73" s="50" t="s">
        <v>249</v>
      </c>
      <c r="E73" s="51">
        <v>1070.0999999999999</v>
      </c>
      <c r="F73" s="50"/>
      <c r="G73" s="50" t="s">
        <v>119</v>
      </c>
      <c r="H73" s="50"/>
      <c r="I73" s="50" t="s">
        <v>250</v>
      </c>
    </row>
    <row r="74" spans="1:9" s="37" customFormat="1">
      <c r="A74" s="50">
        <v>73</v>
      </c>
      <c r="B74" s="49">
        <v>45454</v>
      </c>
      <c r="C74" s="50" t="s">
        <v>251</v>
      </c>
      <c r="D74" s="50" t="s">
        <v>182</v>
      </c>
      <c r="E74" s="51">
        <v>3146.66</v>
      </c>
      <c r="F74" s="50"/>
      <c r="G74" s="50" t="s">
        <v>119</v>
      </c>
      <c r="H74" s="50"/>
      <c r="I74" s="50" t="s">
        <v>252</v>
      </c>
    </row>
    <row r="75" spans="1:9" s="37" customFormat="1">
      <c r="A75" s="50">
        <v>74</v>
      </c>
      <c r="B75" s="49">
        <v>45462</v>
      </c>
      <c r="C75" s="50" t="s">
        <v>253</v>
      </c>
      <c r="D75" s="50" t="s">
        <v>254</v>
      </c>
      <c r="E75" s="51">
        <v>1361.29</v>
      </c>
      <c r="F75" s="50"/>
      <c r="G75" s="50" t="s">
        <v>136</v>
      </c>
      <c r="H75" s="50"/>
      <c r="I75" s="50" t="s">
        <v>255</v>
      </c>
    </row>
    <row r="76" spans="1:9" s="37" customFormat="1">
      <c r="A76" s="50">
        <v>75</v>
      </c>
      <c r="B76" s="49">
        <v>45454</v>
      </c>
      <c r="C76" s="50" t="s">
        <v>256</v>
      </c>
      <c r="D76" s="50" t="s">
        <v>257</v>
      </c>
      <c r="E76" s="51">
        <v>847.42</v>
      </c>
      <c r="F76" s="50"/>
      <c r="G76" s="50" t="s">
        <v>119</v>
      </c>
      <c r="H76" s="50"/>
      <c r="I76" s="50" t="s">
        <v>258</v>
      </c>
    </row>
    <row r="77" spans="1:9" s="37" customFormat="1">
      <c r="A77" s="50">
        <v>76</v>
      </c>
      <c r="B77" s="49">
        <v>45465</v>
      </c>
      <c r="C77" s="50" t="s">
        <v>259</v>
      </c>
      <c r="D77" s="50" t="s">
        <v>260</v>
      </c>
      <c r="E77" s="51">
        <v>1335.17</v>
      </c>
      <c r="F77" s="50"/>
      <c r="G77" s="50" t="s">
        <v>136</v>
      </c>
      <c r="H77" s="50"/>
      <c r="I77" s="50" t="s">
        <v>261</v>
      </c>
    </row>
    <row r="78" spans="1:9" s="37" customFormat="1">
      <c r="A78" s="50">
        <v>77</v>
      </c>
      <c r="B78" s="49">
        <v>45465</v>
      </c>
      <c r="C78" s="50" t="s">
        <v>262</v>
      </c>
      <c r="D78" s="50" t="s">
        <v>263</v>
      </c>
      <c r="E78" s="51">
        <v>1504.38</v>
      </c>
      <c r="F78" s="50"/>
      <c r="G78" s="50" t="s">
        <v>119</v>
      </c>
      <c r="H78" s="50"/>
      <c r="I78" s="50" t="s">
        <v>264</v>
      </c>
    </row>
    <row r="79" spans="1:9" s="37" customFormat="1">
      <c r="A79" s="50">
        <v>78</v>
      </c>
      <c r="B79" s="49">
        <v>45444</v>
      </c>
      <c r="C79" s="50" t="s">
        <v>265</v>
      </c>
      <c r="D79" s="50" t="s">
        <v>266</v>
      </c>
      <c r="E79" s="51">
        <v>2660</v>
      </c>
      <c r="F79" s="51"/>
      <c r="G79" s="50" t="s">
        <v>119</v>
      </c>
      <c r="H79" s="50"/>
      <c r="I79" s="50" t="s">
        <v>267</v>
      </c>
    </row>
    <row r="80" spans="1:9" s="37" customFormat="1">
      <c r="A80" s="50">
        <v>79</v>
      </c>
      <c r="B80" s="49">
        <v>45444</v>
      </c>
      <c r="C80" s="50" t="s">
        <v>268</v>
      </c>
      <c r="D80" s="50" t="s">
        <v>216</v>
      </c>
      <c r="E80" s="51">
        <v>4779</v>
      </c>
      <c r="F80" s="50"/>
      <c r="G80" s="50" t="s">
        <v>119</v>
      </c>
      <c r="H80" s="50"/>
      <c r="I80" s="50" t="s">
        <v>217</v>
      </c>
    </row>
    <row r="81" spans="1:9">
      <c r="A81" s="54">
        <v>80</v>
      </c>
      <c r="B81" s="55">
        <v>45448</v>
      </c>
      <c r="C81" s="54" t="s">
        <v>269</v>
      </c>
      <c r="D81" s="54" t="s">
        <v>203</v>
      </c>
      <c r="E81" s="56">
        <v>48</v>
      </c>
      <c r="F81" s="56"/>
      <c r="G81" s="54" t="s">
        <v>119</v>
      </c>
      <c r="H81" s="54"/>
      <c r="I81" s="54" t="s">
        <v>204</v>
      </c>
    </row>
    <row r="82" spans="1:9">
      <c r="A82" s="54">
        <v>81</v>
      </c>
      <c r="B82" s="55">
        <v>45448</v>
      </c>
      <c r="C82" s="54" t="s">
        <v>205</v>
      </c>
      <c r="D82" s="54" t="s">
        <v>203</v>
      </c>
      <c r="E82" s="56">
        <v>5268.95</v>
      </c>
      <c r="F82" s="56"/>
      <c r="G82" s="54" t="s">
        <v>119</v>
      </c>
      <c r="H82" s="54"/>
      <c r="I82" s="54" t="s">
        <v>204</v>
      </c>
    </row>
    <row r="83" spans="1:9">
      <c r="A83" s="54">
        <v>82</v>
      </c>
      <c r="B83" s="55">
        <v>45448</v>
      </c>
      <c r="C83" s="54" t="s">
        <v>270</v>
      </c>
      <c r="D83" s="54" t="s">
        <v>203</v>
      </c>
      <c r="E83" s="56">
        <v>31.9</v>
      </c>
      <c r="F83" s="56"/>
      <c r="G83" s="54" t="s">
        <v>119</v>
      </c>
      <c r="H83" s="54"/>
      <c r="I83" s="54" t="s">
        <v>204</v>
      </c>
    </row>
    <row r="84" spans="1:9">
      <c r="A84" s="54">
        <v>83</v>
      </c>
      <c r="B84" s="55">
        <v>45448</v>
      </c>
      <c r="C84" s="54" t="s">
        <v>271</v>
      </c>
      <c r="D84" s="54" t="s">
        <v>203</v>
      </c>
      <c r="E84" s="56">
        <v>31.9</v>
      </c>
      <c r="F84" s="56"/>
      <c r="G84" s="54" t="s">
        <v>119</v>
      </c>
      <c r="H84" s="54"/>
      <c r="I84" s="54" t="s">
        <v>204</v>
      </c>
    </row>
    <row r="85" spans="1:9">
      <c r="A85" s="54">
        <v>84</v>
      </c>
      <c r="B85" s="55">
        <v>45448</v>
      </c>
      <c r="C85" s="54" t="s">
        <v>272</v>
      </c>
      <c r="D85" s="54" t="s">
        <v>203</v>
      </c>
      <c r="E85" s="56"/>
      <c r="F85" s="56">
        <v>1255.6500000000001</v>
      </c>
      <c r="G85" s="54" t="s">
        <v>273</v>
      </c>
      <c r="H85" s="54"/>
      <c r="I85" s="54" t="s">
        <v>204</v>
      </c>
    </row>
    <row r="86" spans="1:9">
      <c r="A86" s="54">
        <v>85</v>
      </c>
      <c r="B86" s="55">
        <v>45448</v>
      </c>
      <c r="C86" s="54" t="s">
        <v>274</v>
      </c>
      <c r="D86" s="54" t="s">
        <v>203</v>
      </c>
      <c r="E86" s="57">
        <v>95.9</v>
      </c>
      <c r="F86" s="56"/>
      <c r="G86" s="54" t="s">
        <v>119</v>
      </c>
      <c r="H86" s="54"/>
      <c r="I86" s="54" t="s">
        <v>204</v>
      </c>
    </row>
    <row r="87" spans="1:9">
      <c r="A87" s="54">
        <v>86</v>
      </c>
      <c r="B87" s="55">
        <v>45448</v>
      </c>
      <c r="C87" s="54" t="s">
        <v>275</v>
      </c>
      <c r="D87" s="54" t="s">
        <v>203</v>
      </c>
      <c r="E87" s="57">
        <v>37.5</v>
      </c>
      <c r="F87" s="56"/>
      <c r="G87" s="54" t="s">
        <v>119</v>
      </c>
      <c r="H87" s="54"/>
      <c r="I87" s="54" t="s">
        <v>204</v>
      </c>
    </row>
    <row r="88" spans="1:9">
      <c r="A88" s="54">
        <v>87</v>
      </c>
      <c r="B88" s="55">
        <v>45448</v>
      </c>
      <c r="C88" s="54" t="s">
        <v>276</v>
      </c>
      <c r="D88" s="54" t="s">
        <v>203</v>
      </c>
      <c r="E88" s="57">
        <v>63.9</v>
      </c>
      <c r="F88" s="56"/>
      <c r="G88" s="54" t="s">
        <v>119</v>
      </c>
      <c r="H88" s="54"/>
      <c r="I88" s="54" t="s">
        <v>204</v>
      </c>
    </row>
    <row r="89" spans="1:9">
      <c r="A89" s="54">
        <v>88</v>
      </c>
      <c r="B89" s="55">
        <v>45448</v>
      </c>
      <c r="C89" s="54" t="s">
        <v>277</v>
      </c>
      <c r="D89" s="54" t="s">
        <v>203</v>
      </c>
      <c r="E89" s="57">
        <v>1096.7</v>
      </c>
      <c r="F89" s="56"/>
      <c r="G89" s="54" t="s">
        <v>119</v>
      </c>
      <c r="H89" s="54"/>
      <c r="I89" s="54" t="s">
        <v>204</v>
      </c>
    </row>
    <row r="90" spans="1:9">
      <c r="A90" s="54">
        <v>89</v>
      </c>
      <c r="B90" s="55">
        <v>45448</v>
      </c>
      <c r="C90" s="54" t="s">
        <v>278</v>
      </c>
      <c r="D90" s="54" t="s">
        <v>203</v>
      </c>
      <c r="E90" s="57">
        <v>63.9</v>
      </c>
      <c r="F90" s="56"/>
      <c r="G90" s="54" t="s">
        <v>119</v>
      </c>
      <c r="H90" s="54"/>
      <c r="I90" s="54" t="s">
        <v>204</v>
      </c>
    </row>
    <row r="91" spans="1:9">
      <c r="A91" s="54">
        <v>90</v>
      </c>
      <c r="B91" s="55">
        <v>45448</v>
      </c>
      <c r="C91" s="54" t="s">
        <v>279</v>
      </c>
      <c r="D91" s="54" t="s">
        <v>203</v>
      </c>
      <c r="E91" s="56">
        <v>31.95</v>
      </c>
      <c r="F91" s="56"/>
      <c r="G91" s="54" t="s">
        <v>119</v>
      </c>
      <c r="H91" s="54"/>
      <c r="I91" s="54" t="s">
        <v>204</v>
      </c>
    </row>
    <row r="92" spans="1:9">
      <c r="A92" s="54">
        <v>91</v>
      </c>
      <c r="B92" s="55">
        <v>45448</v>
      </c>
      <c r="C92" s="54" t="s">
        <v>280</v>
      </c>
      <c r="D92" s="54" t="s">
        <v>203</v>
      </c>
      <c r="E92" s="56">
        <v>31.95</v>
      </c>
      <c r="F92" s="56"/>
      <c r="G92" s="54" t="s">
        <v>119</v>
      </c>
      <c r="H92" s="54"/>
      <c r="I92" s="54" t="s">
        <v>204</v>
      </c>
    </row>
    <row r="93" spans="1:9">
      <c r="A93" s="54">
        <v>92</v>
      </c>
      <c r="B93" s="55">
        <v>45448</v>
      </c>
      <c r="C93" s="54" t="s">
        <v>281</v>
      </c>
      <c r="D93" s="54" t="s">
        <v>203</v>
      </c>
      <c r="E93" s="56">
        <v>31.95</v>
      </c>
      <c r="F93" s="56"/>
      <c r="G93" s="54" t="s">
        <v>119</v>
      </c>
      <c r="H93" s="54"/>
      <c r="I93" s="54" t="s">
        <v>204</v>
      </c>
    </row>
    <row r="94" spans="1:9">
      <c r="A94" s="54">
        <v>93</v>
      </c>
      <c r="B94" s="55">
        <v>45448</v>
      </c>
      <c r="C94" s="54" t="s">
        <v>282</v>
      </c>
      <c r="D94" s="54" t="s">
        <v>203</v>
      </c>
      <c r="E94" s="56">
        <v>33</v>
      </c>
      <c r="F94" s="56"/>
      <c r="G94" s="54" t="s">
        <v>119</v>
      </c>
      <c r="H94" s="54"/>
      <c r="I94" s="54" t="s">
        <v>204</v>
      </c>
    </row>
    <row r="95" spans="1:9" s="47" customFormat="1">
      <c r="A95" s="58">
        <v>94</v>
      </c>
      <c r="B95" s="59">
        <v>45449</v>
      </c>
      <c r="C95" s="58" t="s">
        <v>283</v>
      </c>
      <c r="D95" s="58" t="s">
        <v>284</v>
      </c>
      <c r="E95" s="60"/>
      <c r="F95" s="60">
        <v>10000</v>
      </c>
      <c r="G95" s="58" t="s">
        <v>114</v>
      </c>
      <c r="H95" s="58"/>
      <c r="I95" s="58" t="s">
        <v>285</v>
      </c>
    </row>
    <row r="96" spans="1:9" s="47" customFormat="1">
      <c r="A96" s="58">
        <v>95</v>
      </c>
      <c r="B96" s="59">
        <v>45465</v>
      </c>
      <c r="C96" s="58" t="s">
        <v>286</v>
      </c>
      <c r="D96" s="58" t="s">
        <v>113</v>
      </c>
      <c r="E96" s="60"/>
      <c r="F96" s="60">
        <v>10000</v>
      </c>
      <c r="G96" s="58" t="s">
        <v>114</v>
      </c>
      <c r="H96" s="58"/>
      <c r="I96" s="58" t="s">
        <v>115</v>
      </c>
    </row>
    <row r="97" spans="1:9" s="47" customFormat="1">
      <c r="A97" s="58">
        <v>96</v>
      </c>
      <c r="B97" s="59">
        <v>45465</v>
      </c>
      <c r="C97" s="58" t="s">
        <v>286</v>
      </c>
      <c r="D97" s="58" t="s">
        <v>113</v>
      </c>
      <c r="E97" s="60"/>
      <c r="F97" s="60">
        <v>10000</v>
      </c>
      <c r="G97" s="58" t="s">
        <v>114</v>
      </c>
      <c r="H97" s="58"/>
      <c r="I97" s="58" t="s">
        <v>115</v>
      </c>
    </row>
    <row r="98" spans="1:9" s="37" customFormat="1">
      <c r="A98" s="50">
        <v>97</v>
      </c>
      <c r="B98" s="49">
        <v>45460</v>
      </c>
      <c r="C98" s="50" t="s">
        <v>287</v>
      </c>
      <c r="D98" s="50" t="s">
        <v>288</v>
      </c>
      <c r="E98" s="51">
        <v>160</v>
      </c>
      <c r="F98" s="51"/>
      <c r="G98" s="50" t="s">
        <v>119</v>
      </c>
      <c r="H98" s="50"/>
      <c r="I98" s="50" t="s">
        <v>289</v>
      </c>
    </row>
    <row r="99" spans="1:9">
      <c r="A99" s="54">
        <v>98</v>
      </c>
      <c r="B99" s="55">
        <v>45444</v>
      </c>
      <c r="C99" s="54" t="s">
        <v>290</v>
      </c>
      <c r="D99" s="54" t="s">
        <v>151</v>
      </c>
      <c r="E99" s="56">
        <v>420</v>
      </c>
      <c r="F99" s="56"/>
      <c r="G99" s="54" t="s">
        <v>136</v>
      </c>
      <c r="H99" s="54"/>
      <c r="I99" s="54" t="s">
        <v>128</v>
      </c>
    </row>
    <row r="100" spans="1:9" s="37" customFormat="1">
      <c r="A100" s="50">
        <v>99</v>
      </c>
      <c r="B100" s="49">
        <v>45448</v>
      </c>
      <c r="C100" s="50" t="s">
        <v>291</v>
      </c>
      <c r="D100" s="50" t="s">
        <v>219</v>
      </c>
      <c r="E100" s="51">
        <v>4205.8</v>
      </c>
      <c r="F100" s="51"/>
      <c r="G100" s="50" t="s">
        <v>119</v>
      </c>
      <c r="H100" s="50"/>
      <c r="I100" s="50" t="s">
        <v>292</v>
      </c>
    </row>
    <row r="101" spans="1:9" s="37" customFormat="1">
      <c r="A101" s="50">
        <v>100</v>
      </c>
      <c r="B101" s="49">
        <v>45448</v>
      </c>
      <c r="C101" s="50" t="s">
        <v>293</v>
      </c>
      <c r="D101" s="50" t="s">
        <v>294</v>
      </c>
      <c r="E101" s="51">
        <v>5734.8</v>
      </c>
      <c r="F101" s="51"/>
      <c r="G101" s="50" t="s">
        <v>136</v>
      </c>
      <c r="H101" s="50"/>
      <c r="I101" s="50" t="s">
        <v>295</v>
      </c>
    </row>
    <row r="102" spans="1:9">
      <c r="A102" s="54">
        <v>101</v>
      </c>
      <c r="B102" s="55">
        <v>45444</v>
      </c>
      <c r="C102" s="54" t="s">
        <v>296</v>
      </c>
      <c r="D102" s="54" t="s">
        <v>151</v>
      </c>
      <c r="E102" s="56">
        <v>792.4</v>
      </c>
      <c r="F102" s="56"/>
      <c r="G102" s="54" t="s">
        <v>119</v>
      </c>
      <c r="H102" s="54">
        <v>4.8</v>
      </c>
      <c r="I102" s="54" t="s">
        <v>128</v>
      </c>
    </row>
    <row r="103" spans="1:9">
      <c r="A103" s="54">
        <v>102</v>
      </c>
      <c r="B103" s="55">
        <v>45469</v>
      </c>
      <c r="C103" s="54" t="s">
        <v>297</v>
      </c>
      <c r="D103" s="54" t="s">
        <v>142</v>
      </c>
      <c r="E103" s="56">
        <v>855</v>
      </c>
      <c r="F103" s="56"/>
      <c r="G103" s="54" t="s">
        <v>119</v>
      </c>
      <c r="H103" s="54"/>
      <c r="I103" s="54" t="s">
        <v>128</v>
      </c>
    </row>
    <row r="104" spans="1:9" s="37" customFormat="1">
      <c r="A104" s="50">
        <v>103</v>
      </c>
      <c r="B104" s="49">
        <v>45465</v>
      </c>
      <c r="C104" s="50" t="s">
        <v>298</v>
      </c>
      <c r="D104" s="50" t="s">
        <v>298</v>
      </c>
      <c r="E104" s="51">
        <v>23840</v>
      </c>
      <c r="F104" s="51"/>
      <c r="G104" s="50" t="s">
        <v>119</v>
      </c>
      <c r="H104" s="50"/>
      <c r="I104" s="50" t="s">
        <v>128</v>
      </c>
    </row>
    <row r="105" spans="1:9" s="37" customFormat="1">
      <c r="A105" s="50">
        <v>104</v>
      </c>
      <c r="B105" s="49">
        <v>45447</v>
      </c>
      <c r="C105" s="50" t="s">
        <v>299</v>
      </c>
      <c r="D105" s="50" t="s">
        <v>300</v>
      </c>
      <c r="E105" s="51">
        <v>940</v>
      </c>
      <c r="F105" s="51"/>
      <c r="G105" s="50" t="s">
        <v>119</v>
      </c>
      <c r="H105" s="50"/>
      <c r="I105" s="50" t="s">
        <v>301</v>
      </c>
    </row>
    <row r="106" spans="1:9" s="37" customFormat="1">
      <c r="A106" s="50">
        <v>105</v>
      </c>
      <c r="B106" s="49">
        <v>45468</v>
      </c>
      <c r="C106" s="50" t="s">
        <v>302</v>
      </c>
      <c r="D106" s="50" t="s">
        <v>303</v>
      </c>
      <c r="E106" s="51">
        <v>6690.6</v>
      </c>
      <c r="F106" s="51"/>
      <c r="G106" s="50" t="s">
        <v>119</v>
      </c>
      <c r="H106" s="50"/>
      <c r="I106" s="50" t="s">
        <v>304</v>
      </c>
    </row>
    <row r="107" spans="1:9">
      <c r="A107" s="54">
        <v>106</v>
      </c>
      <c r="B107" s="55">
        <v>45455</v>
      </c>
      <c r="C107" s="54" t="s">
        <v>305</v>
      </c>
      <c r="D107" s="54" t="s">
        <v>203</v>
      </c>
      <c r="E107" s="56">
        <v>165.95</v>
      </c>
      <c r="F107" s="56"/>
      <c r="G107" s="54" t="s">
        <v>119</v>
      </c>
      <c r="H107" s="54"/>
      <c r="I107" s="54" t="s">
        <v>204</v>
      </c>
    </row>
    <row r="108" spans="1:9" s="37" customFormat="1">
      <c r="A108" s="50">
        <v>107</v>
      </c>
      <c r="B108" s="49">
        <v>45463</v>
      </c>
      <c r="C108" s="50" t="s">
        <v>306</v>
      </c>
      <c r="D108" s="50" t="s">
        <v>307</v>
      </c>
      <c r="E108" s="51">
        <v>1280</v>
      </c>
      <c r="F108" s="51"/>
      <c r="G108" s="50" t="s">
        <v>136</v>
      </c>
      <c r="H108" s="50"/>
      <c r="I108" s="50" t="s">
        <v>308</v>
      </c>
    </row>
    <row r="109" spans="1:9" s="37" customFormat="1">
      <c r="A109" s="50">
        <v>108</v>
      </c>
      <c r="B109" s="49">
        <v>45448</v>
      </c>
      <c r="C109" s="50" t="s">
        <v>309</v>
      </c>
      <c r="D109" s="50" t="s">
        <v>310</v>
      </c>
      <c r="E109" s="51">
        <v>2712.26</v>
      </c>
      <c r="F109" s="51"/>
      <c r="G109" s="50" t="s">
        <v>311</v>
      </c>
      <c r="H109" s="50"/>
      <c r="I109" s="50" t="s">
        <v>128</v>
      </c>
    </row>
    <row r="110" spans="1:9" s="47" customFormat="1">
      <c r="A110" s="58">
        <v>109</v>
      </c>
      <c r="B110" s="59">
        <v>45448</v>
      </c>
      <c r="C110" s="58" t="s">
        <v>312</v>
      </c>
      <c r="D110" s="58" t="s">
        <v>113</v>
      </c>
      <c r="E110" s="60"/>
      <c r="F110" s="60">
        <v>17243.21</v>
      </c>
      <c r="G110" s="58" t="s">
        <v>114</v>
      </c>
      <c r="H110" s="58">
        <f>1.32+0.21</f>
        <v>1.53</v>
      </c>
      <c r="I110" s="58" t="s">
        <v>115</v>
      </c>
    </row>
    <row r="111" spans="1:9">
      <c r="A111" s="54">
        <v>110</v>
      </c>
      <c r="B111" s="55">
        <v>45447</v>
      </c>
      <c r="C111" s="54" t="s">
        <v>313</v>
      </c>
      <c r="D111" s="54" t="s">
        <v>314</v>
      </c>
      <c r="E111" s="56">
        <v>1485</v>
      </c>
      <c r="F111" s="56"/>
      <c r="G111" s="54" t="s">
        <v>119</v>
      </c>
      <c r="H111" s="54"/>
      <c r="I111" s="54" t="s">
        <v>128</v>
      </c>
    </row>
    <row r="112" spans="1:9">
      <c r="A112" s="54">
        <v>111</v>
      </c>
      <c r="B112" s="55">
        <v>45458</v>
      </c>
      <c r="C112" s="54" t="s">
        <v>315</v>
      </c>
      <c r="D112" s="54" t="s">
        <v>316</v>
      </c>
      <c r="E112" s="56">
        <v>29325</v>
      </c>
      <c r="F112" s="56"/>
      <c r="G112" s="54" t="s">
        <v>119</v>
      </c>
      <c r="H112" s="54"/>
      <c r="I112" s="54" t="s">
        <v>128</v>
      </c>
    </row>
    <row r="113" spans="1:9" s="47" customFormat="1">
      <c r="A113" s="58">
        <v>112</v>
      </c>
      <c r="B113" s="59">
        <v>45463</v>
      </c>
      <c r="C113" s="58" t="s">
        <v>317</v>
      </c>
      <c r="D113" s="58" t="s">
        <v>318</v>
      </c>
      <c r="E113" s="58"/>
      <c r="F113" s="60">
        <v>472.66</v>
      </c>
      <c r="G113" s="58" t="s">
        <v>114</v>
      </c>
      <c r="H113" s="58"/>
      <c r="I113" s="58" t="s">
        <v>319</v>
      </c>
    </row>
    <row r="114" spans="1:9" s="37" customFormat="1">
      <c r="A114" s="50">
        <v>113</v>
      </c>
      <c r="B114" s="49">
        <v>45460</v>
      </c>
      <c r="C114" s="50" t="s">
        <v>320</v>
      </c>
      <c r="D114" s="50" t="s">
        <v>310</v>
      </c>
      <c r="E114" s="51">
        <v>1350</v>
      </c>
      <c r="F114" s="51"/>
      <c r="G114" s="50" t="s">
        <v>119</v>
      </c>
      <c r="H114" s="50"/>
      <c r="I114" s="50" t="s">
        <v>321</v>
      </c>
    </row>
    <row r="115" spans="1:9" s="37" customFormat="1">
      <c r="A115" s="50">
        <v>114</v>
      </c>
      <c r="B115" s="49">
        <v>45453</v>
      </c>
      <c r="C115" s="50" t="s">
        <v>322</v>
      </c>
      <c r="D115" s="50" t="s">
        <v>151</v>
      </c>
      <c r="E115" s="51">
        <v>156.1</v>
      </c>
      <c r="F115" s="51"/>
      <c r="G115" s="50" t="s">
        <v>119</v>
      </c>
      <c r="H115" s="50"/>
      <c r="I115" s="50" t="s">
        <v>323</v>
      </c>
    </row>
    <row r="116" spans="1:9" s="37" customFormat="1">
      <c r="A116" s="50">
        <v>115</v>
      </c>
      <c r="B116" s="49">
        <v>45444</v>
      </c>
      <c r="C116" s="50" t="s">
        <v>324</v>
      </c>
      <c r="D116" s="50" t="s">
        <v>325</v>
      </c>
      <c r="E116" s="51">
        <v>849.6</v>
      </c>
      <c r="F116" s="50"/>
      <c r="G116" s="50" t="s">
        <v>119</v>
      </c>
      <c r="H116" s="50"/>
      <c r="I116" s="50" t="s">
        <v>326</v>
      </c>
    </row>
    <row r="117" spans="1:9" s="47" customFormat="1">
      <c r="A117" s="58">
        <v>116</v>
      </c>
      <c r="B117" s="59">
        <v>45468</v>
      </c>
      <c r="C117" s="58" t="s">
        <v>327</v>
      </c>
      <c r="D117" s="58" t="s">
        <v>113</v>
      </c>
      <c r="E117" s="60"/>
      <c r="F117" s="60">
        <v>8972.84</v>
      </c>
      <c r="G117" s="58" t="s">
        <v>114</v>
      </c>
      <c r="H117" s="58"/>
      <c r="I117" s="58" t="s">
        <v>115</v>
      </c>
    </row>
    <row r="118" spans="1:9" s="47" customFormat="1">
      <c r="A118" s="58">
        <v>117</v>
      </c>
      <c r="B118" s="59">
        <v>45468</v>
      </c>
      <c r="C118" s="58" t="s">
        <v>328</v>
      </c>
      <c r="D118" s="58" t="s">
        <v>122</v>
      </c>
      <c r="E118" s="58"/>
      <c r="F118" s="60">
        <v>2000</v>
      </c>
      <c r="G118" s="58" t="s">
        <v>114</v>
      </c>
      <c r="H118" s="58">
        <v>1.39</v>
      </c>
      <c r="I118" s="58" t="s">
        <v>123</v>
      </c>
    </row>
    <row r="119" spans="1:9" s="47" customFormat="1">
      <c r="A119" s="58">
        <v>118</v>
      </c>
      <c r="B119" s="59">
        <v>45449</v>
      </c>
      <c r="C119" s="58" t="s">
        <v>329</v>
      </c>
      <c r="D119" s="58" t="s">
        <v>284</v>
      </c>
      <c r="E119" s="60"/>
      <c r="F119" s="60">
        <v>315.8</v>
      </c>
      <c r="G119" s="58" t="s">
        <v>114</v>
      </c>
      <c r="H119" s="58"/>
      <c r="I119" s="58" t="s">
        <v>285</v>
      </c>
    </row>
    <row r="120" spans="1:9" s="47" customFormat="1">
      <c r="A120" s="58">
        <v>119</v>
      </c>
      <c r="B120" s="59">
        <v>45467</v>
      </c>
      <c r="C120" s="58" t="s">
        <v>330</v>
      </c>
      <c r="D120" s="58" t="s">
        <v>113</v>
      </c>
      <c r="E120" s="60"/>
      <c r="F120" s="60">
        <v>2000</v>
      </c>
      <c r="G120" s="58" t="s">
        <v>114</v>
      </c>
      <c r="H120" s="58"/>
      <c r="I120" s="58" t="s">
        <v>115</v>
      </c>
    </row>
    <row r="121" spans="1:9" s="37" customFormat="1">
      <c r="A121" s="50">
        <v>120</v>
      </c>
      <c r="B121" s="49">
        <v>45472</v>
      </c>
      <c r="C121" s="50" t="s">
        <v>331</v>
      </c>
      <c r="D121" s="50" t="s">
        <v>332</v>
      </c>
      <c r="E121" s="51">
        <v>1914</v>
      </c>
      <c r="F121" s="38"/>
      <c r="G121" s="50" t="s">
        <v>136</v>
      </c>
      <c r="H121" s="50"/>
      <c r="I121" s="50" t="s">
        <v>333</v>
      </c>
    </row>
    <row r="122" spans="1:9">
      <c r="A122" s="54">
        <v>121</v>
      </c>
      <c r="B122" s="55">
        <v>45443</v>
      </c>
      <c r="C122" s="54" t="s">
        <v>334</v>
      </c>
      <c r="D122" s="54" t="s">
        <v>335</v>
      </c>
      <c r="E122" s="56">
        <v>1120</v>
      </c>
      <c r="F122" s="56"/>
      <c r="G122" s="54" t="s">
        <v>119</v>
      </c>
      <c r="H122" s="54"/>
      <c r="I122" s="54" t="s">
        <v>128</v>
      </c>
    </row>
    <row r="123" spans="1:9" s="37" customFormat="1">
      <c r="A123" s="50">
        <v>122</v>
      </c>
      <c r="B123" s="49">
        <v>45471</v>
      </c>
      <c r="C123" s="50" t="s">
        <v>336</v>
      </c>
      <c r="D123" s="50" t="s">
        <v>337</v>
      </c>
      <c r="E123" s="51">
        <v>2175</v>
      </c>
      <c r="F123" s="51"/>
      <c r="G123" s="50" t="s">
        <v>136</v>
      </c>
      <c r="H123" s="50"/>
      <c r="I123" s="50" t="s">
        <v>333</v>
      </c>
    </row>
    <row r="124" spans="1:9" s="37" customFormat="1">
      <c r="A124" s="50">
        <v>123</v>
      </c>
      <c r="B124" s="49">
        <v>45473</v>
      </c>
      <c r="C124" s="50" t="s">
        <v>338</v>
      </c>
      <c r="D124" s="50" t="s">
        <v>142</v>
      </c>
      <c r="E124" s="51">
        <v>3000</v>
      </c>
      <c r="F124" s="51"/>
      <c r="G124" s="50" t="s">
        <v>119</v>
      </c>
      <c r="H124" s="50"/>
      <c r="I124" s="50" t="s">
        <v>339</v>
      </c>
    </row>
    <row r="125" spans="1:9" s="37" customFormat="1">
      <c r="A125" s="50">
        <v>124</v>
      </c>
      <c r="B125" s="49">
        <v>45472</v>
      </c>
      <c r="C125" s="50" t="s">
        <v>340</v>
      </c>
      <c r="D125" s="50" t="s">
        <v>341</v>
      </c>
      <c r="E125" s="51">
        <v>905.07</v>
      </c>
      <c r="F125" s="51"/>
      <c r="G125" s="50" t="s">
        <v>119</v>
      </c>
      <c r="H125" s="50"/>
      <c r="I125" s="50" t="s">
        <v>333</v>
      </c>
    </row>
    <row r="126" spans="1:9" s="37" customFormat="1">
      <c r="A126" s="50">
        <v>125</v>
      </c>
      <c r="B126" s="49">
        <v>45473</v>
      </c>
      <c r="C126" s="50" t="s">
        <v>342</v>
      </c>
      <c r="D126" s="50" t="s">
        <v>343</v>
      </c>
      <c r="E126" s="51">
        <v>3090.5</v>
      </c>
      <c r="F126" s="51"/>
      <c r="G126" s="50" t="s">
        <v>119</v>
      </c>
      <c r="H126" s="50"/>
      <c r="I126" s="50" t="s">
        <v>333</v>
      </c>
    </row>
    <row r="127" spans="1:9" s="37" customFormat="1">
      <c r="A127" s="50">
        <v>126</v>
      </c>
      <c r="B127" s="49">
        <v>45471</v>
      </c>
      <c r="C127" s="50" t="s">
        <v>344</v>
      </c>
      <c r="D127" s="50" t="s">
        <v>345</v>
      </c>
      <c r="E127" s="51">
        <v>905.08</v>
      </c>
      <c r="F127" s="51"/>
      <c r="G127" s="50" t="s">
        <v>119</v>
      </c>
      <c r="H127" s="50"/>
      <c r="I127" s="50" t="s">
        <v>333</v>
      </c>
    </row>
    <row r="128" spans="1:9" s="37" customFormat="1">
      <c r="A128" s="50">
        <v>127</v>
      </c>
      <c r="B128" s="49">
        <v>45472</v>
      </c>
      <c r="C128" s="50" t="s">
        <v>346</v>
      </c>
      <c r="D128" s="50" t="s">
        <v>347</v>
      </c>
      <c r="E128" s="51">
        <v>905.08</v>
      </c>
      <c r="F128" s="51"/>
      <c r="G128" s="50" t="s">
        <v>136</v>
      </c>
      <c r="H128" s="50"/>
      <c r="I128" s="50" t="s">
        <v>333</v>
      </c>
    </row>
    <row r="129" spans="1:9" s="37" customFormat="1">
      <c r="A129" s="50">
        <v>128</v>
      </c>
      <c r="B129" s="49">
        <v>45471</v>
      </c>
      <c r="C129" s="50" t="s">
        <v>348</v>
      </c>
      <c r="D129" s="50" t="s">
        <v>349</v>
      </c>
      <c r="E129" s="51">
        <v>12800</v>
      </c>
      <c r="F129" s="51"/>
      <c r="G129" s="50" t="s">
        <v>119</v>
      </c>
      <c r="H129" s="50">
        <v>4.8</v>
      </c>
      <c r="I129" s="50" t="s">
        <v>350</v>
      </c>
    </row>
    <row r="130" spans="1:9" s="37" customFormat="1">
      <c r="A130" s="50">
        <v>129</v>
      </c>
      <c r="B130" s="49">
        <v>45473</v>
      </c>
      <c r="C130" s="50" t="s">
        <v>348</v>
      </c>
      <c r="D130" s="50" t="s">
        <v>349</v>
      </c>
      <c r="E130" s="51">
        <v>5300</v>
      </c>
      <c r="F130" s="51"/>
      <c r="G130" s="50" t="s">
        <v>119</v>
      </c>
      <c r="H130" s="50">
        <v>4.8</v>
      </c>
      <c r="I130" s="50" t="s">
        <v>350</v>
      </c>
    </row>
    <row r="131" spans="1:9" s="37" customFormat="1">
      <c r="A131" s="50">
        <v>130</v>
      </c>
      <c r="B131" s="49">
        <v>45470</v>
      </c>
      <c r="C131" s="50" t="s">
        <v>351</v>
      </c>
      <c r="D131" s="50" t="s">
        <v>352</v>
      </c>
      <c r="E131" s="51">
        <v>9243.5</v>
      </c>
      <c r="F131" s="51"/>
      <c r="G131" s="50" t="s">
        <v>119</v>
      </c>
      <c r="H131" s="50"/>
      <c r="I131" s="50" t="s">
        <v>353</v>
      </c>
    </row>
    <row r="132" spans="1:9" s="37" customFormat="1">
      <c r="A132" s="50">
        <v>131</v>
      </c>
      <c r="B132" s="49">
        <v>45471</v>
      </c>
      <c r="C132" s="50" t="s">
        <v>354</v>
      </c>
      <c r="D132" s="50" t="s">
        <v>355</v>
      </c>
      <c r="E132" s="51">
        <v>150.85</v>
      </c>
      <c r="F132" s="51"/>
      <c r="G132" s="50" t="s">
        <v>119</v>
      </c>
      <c r="H132" s="50"/>
      <c r="I132" s="50" t="s">
        <v>333</v>
      </c>
    </row>
    <row r="133" spans="1:9" s="37" customFormat="1">
      <c r="A133" s="50">
        <v>132</v>
      </c>
      <c r="B133" s="49">
        <v>45472</v>
      </c>
      <c r="C133" s="50" t="s">
        <v>356</v>
      </c>
      <c r="D133" s="50" t="s">
        <v>357</v>
      </c>
      <c r="E133" s="51">
        <v>905.08</v>
      </c>
      <c r="F133" s="51"/>
      <c r="G133" s="50" t="s">
        <v>119</v>
      </c>
      <c r="H133" s="50"/>
      <c r="I133" s="50" t="s">
        <v>333</v>
      </c>
    </row>
    <row r="134" spans="1:9" s="37" customFormat="1">
      <c r="A134" s="50">
        <v>133</v>
      </c>
      <c r="B134" s="49">
        <v>45471</v>
      </c>
      <c r="C134" s="50" t="s">
        <v>358</v>
      </c>
      <c r="D134" s="50" t="s">
        <v>359</v>
      </c>
      <c r="E134" s="51">
        <v>1740</v>
      </c>
      <c r="F134" s="51"/>
      <c r="G134" s="50" t="s">
        <v>119</v>
      </c>
      <c r="H134" s="50"/>
      <c r="I134" s="50" t="s">
        <v>333</v>
      </c>
    </row>
    <row r="135" spans="1:9" s="37" customFormat="1">
      <c r="A135" s="50">
        <v>134</v>
      </c>
      <c r="B135" s="49">
        <v>45471</v>
      </c>
      <c r="C135" s="50" t="s">
        <v>360</v>
      </c>
      <c r="D135" s="50" t="s">
        <v>151</v>
      </c>
      <c r="E135" s="51">
        <v>1130.9000000000001</v>
      </c>
      <c r="F135" s="51"/>
      <c r="G135" s="50" t="s">
        <v>136</v>
      </c>
      <c r="H135" s="50"/>
      <c r="I135" s="50" t="s">
        <v>333</v>
      </c>
    </row>
    <row r="136" spans="1:9" s="37" customFormat="1">
      <c r="A136" s="50">
        <v>135</v>
      </c>
      <c r="B136" s="49">
        <v>45473</v>
      </c>
      <c r="C136" s="50" t="s">
        <v>361</v>
      </c>
      <c r="D136" s="50" t="s">
        <v>362</v>
      </c>
      <c r="E136" s="51">
        <v>4975</v>
      </c>
      <c r="F136" s="51"/>
      <c r="G136" s="50" t="s">
        <v>136</v>
      </c>
      <c r="H136" s="50"/>
      <c r="I136" s="50" t="s">
        <v>363</v>
      </c>
    </row>
    <row r="137" spans="1:9" s="37" customFormat="1">
      <c r="A137" s="50">
        <v>136</v>
      </c>
      <c r="B137" s="49">
        <v>45471</v>
      </c>
      <c r="C137" s="50" t="s">
        <v>364</v>
      </c>
      <c r="D137" s="50" t="s">
        <v>365</v>
      </c>
      <c r="E137" s="51">
        <v>905.08</v>
      </c>
      <c r="F137" s="51"/>
      <c r="G137" s="50" t="s">
        <v>119</v>
      </c>
      <c r="H137" s="50">
        <v>4.8</v>
      </c>
      <c r="I137" s="50" t="s">
        <v>333</v>
      </c>
    </row>
    <row r="138" spans="1:9" s="37" customFormat="1">
      <c r="A138" s="50">
        <v>137</v>
      </c>
      <c r="B138" s="49">
        <v>45469</v>
      </c>
      <c r="C138" s="50" t="s">
        <v>366</v>
      </c>
      <c r="D138" s="50" t="s">
        <v>367</v>
      </c>
      <c r="E138" s="51">
        <v>450</v>
      </c>
      <c r="F138" s="51"/>
      <c r="G138" s="50" t="s">
        <v>119</v>
      </c>
      <c r="H138" s="50"/>
      <c r="I138" s="50" t="s">
        <v>368</v>
      </c>
    </row>
    <row r="139" spans="1:9" s="37" customFormat="1">
      <c r="A139" s="50">
        <v>138</v>
      </c>
      <c r="B139" s="49">
        <v>45472</v>
      </c>
      <c r="C139" s="50" t="s">
        <v>369</v>
      </c>
      <c r="D139" s="50" t="s">
        <v>370</v>
      </c>
      <c r="E139" s="51">
        <v>1942.6</v>
      </c>
      <c r="F139" s="51"/>
      <c r="G139" s="50" t="s">
        <v>119</v>
      </c>
      <c r="H139" s="50"/>
      <c r="I139" s="50" t="s">
        <v>333</v>
      </c>
    </row>
    <row r="140" spans="1:9" s="37" customFormat="1">
      <c r="A140" s="50">
        <v>139</v>
      </c>
      <c r="B140" s="49">
        <v>45473</v>
      </c>
      <c r="C140" s="50" t="s">
        <v>371</v>
      </c>
      <c r="D140" s="50" t="s">
        <v>372</v>
      </c>
      <c r="E140" s="51">
        <v>353.2</v>
      </c>
      <c r="F140" s="51"/>
      <c r="G140" s="50" t="s">
        <v>119</v>
      </c>
      <c r="H140" s="50"/>
      <c r="I140" s="50" t="s">
        <v>333</v>
      </c>
    </row>
    <row r="141" spans="1:9">
      <c r="A141" s="54">
        <v>140</v>
      </c>
      <c r="B141" s="55">
        <v>45472</v>
      </c>
      <c r="C141" s="54" t="s">
        <v>373</v>
      </c>
      <c r="D141" s="54" t="s">
        <v>310</v>
      </c>
      <c r="E141" s="56">
        <v>18759.77</v>
      </c>
      <c r="F141" s="56"/>
      <c r="G141" s="54" t="s">
        <v>119</v>
      </c>
      <c r="H141" s="54"/>
      <c r="I141" s="54" t="s">
        <v>128</v>
      </c>
    </row>
    <row r="142" spans="1:9" s="37" customFormat="1">
      <c r="A142" s="50">
        <v>141</v>
      </c>
      <c r="B142" s="49">
        <v>45471</v>
      </c>
      <c r="C142" s="50" t="s">
        <v>298</v>
      </c>
      <c r="D142" s="50" t="s">
        <v>298</v>
      </c>
      <c r="E142" s="51">
        <v>905.08</v>
      </c>
      <c r="F142" s="51"/>
      <c r="G142" s="50" t="s">
        <v>119</v>
      </c>
      <c r="H142" s="50"/>
      <c r="I142" s="50" t="s">
        <v>333</v>
      </c>
    </row>
    <row r="143" spans="1:9" s="37" customFormat="1">
      <c r="A143" s="50">
        <v>142</v>
      </c>
      <c r="B143" s="49">
        <v>45472</v>
      </c>
      <c r="C143" s="50" t="s">
        <v>374</v>
      </c>
      <c r="D143" s="50" t="s">
        <v>375</v>
      </c>
      <c r="E143" s="51">
        <v>441.5</v>
      </c>
      <c r="F143" s="51"/>
      <c r="G143" s="50" t="s">
        <v>119</v>
      </c>
      <c r="H143" s="50"/>
      <c r="I143" s="50" t="s">
        <v>333</v>
      </c>
    </row>
    <row r="144" spans="1:9" s="37" customFormat="1">
      <c r="A144" s="50">
        <v>143</v>
      </c>
      <c r="B144" s="49">
        <v>45471</v>
      </c>
      <c r="C144" s="50" t="s">
        <v>376</v>
      </c>
      <c r="D144" s="50" t="s">
        <v>377</v>
      </c>
      <c r="E144" s="51">
        <v>891.75</v>
      </c>
      <c r="F144" s="51"/>
      <c r="G144" s="50" t="s">
        <v>119</v>
      </c>
      <c r="H144" s="50"/>
      <c r="I144" s="50" t="s">
        <v>333</v>
      </c>
    </row>
    <row r="145" spans="1:9" s="47" customFormat="1">
      <c r="A145" s="58">
        <v>144</v>
      </c>
      <c r="B145" s="59">
        <v>45472</v>
      </c>
      <c r="C145" s="58" t="s">
        <v>378</v>
      </c>
      <c r="D145" s="58" t="s">
        <v>379</v>
      </c>
      <c r="E145" s="60">
        <v>4210.5200000000004</v>
      </c>
      <c r="F145" s="60"/>
      <c r="G145" s="58" t="s">
        <v>119</v>
      </c>
      <c r="H145" s="58"/>
      <c r="I145" s="58" t="s">
        <v>380</v>
      </c>
    </row>
    <row r="146" spans="1:9" s="37" customFormat="1">
      <c r="A146" s="50">
        <v>145</v>
      </c>
      <c r="B146" s="49">
        <v>45471</v>
      </c>
      <c r="C146" s="50" t="s">
        <v>381</v>
      </c>
      <c r="D146" s="50" t="s">
        <v>382</v>
      </c>
      <c r="E146" s="51">
        <v>889.19</v>
      </c>
      <c r="F146" s="51"/>
      <c r="G146" s="50" t="s">
        <v>119</v>
      </c>
      <c r="H146" s="50"/>
      <c r="I146" s="50" t="s">
        <v>333</v>
      </c>
    </row>
    <row r="147" spans="1:9" s="37" customFormat="1">
      <c r="A147" s="50">
        <v>146</v>
      </c>
      <c r="B147" s="49">
        <v>45471</v>
      </c>
      <c r="C147" s="50" t="s">
        <v>383</v>
      </c>
      <c r="D147" s="50" t="s">
        <v>384</v>
      </c>
      <c r="E147" s="51">
        <v>905.08</v>
      </c>
      <c r="F147" s="51"/>
      <c r="G147" s="50" t="s">
        <v>136</v>
      </c>
      <c r="H147" s="50"/>
      <c r="I147" s="50" t="s">
        <v>333</v>
      </c>
    </row>
    <row r="148" spans="1:9" s="37" customFormat="1">
      <c r="A148" s="50">
        <v>147</v>
      </c>
      <c r="B148" s="49">
        <v>45472</v>
      </c>
      <c r="C148" s="50" t="s">
        <v>385</v>
      </c>
      <c r="D148" s="50" t="s">
        <v>386</v>
      </c>
      <c r="E148" s="51">
        <v>441.5</v>
      </c>
      <c r="F148" s="51"/>
      <c r="G148" s="50" t="s">
        <v>119</v>
      </c>
      <c r="H148" s="50"/>
      <c r="I148" s="50" t="s">
        <v>333</v>
      </c>
    </row>
    <row r="149" spans="1:9" s="37" customFormat="1">
      <c r="A149" s="50">
        <v>148</v>
      </c>
      <c r="B149" s="49">
        <v>45471</v>
      </c>
      <c r="C149" s="50" t="s">
        <v>387</v>
      </c>
      <c r="D149" s="50" t="s">
        <v>388</v>
      </c>
      <c r="E149" s="51">
        <v>891.75</v>
      </c>
      <c r="F149" s="51"/>
      <c r="G149" s="50" t="s">
        <v>119</v>
      </c>
      <c r="H149" s="50"/>
      <c r="I149" s="50" t="s">
        <v>333</v>
      </c>
    </row>
    <row r="150" spans="1:9" s="37" customFormat="1">
      <c r="A150" s="50">
        <v>149</v>
      </c>
      <c r="B150" s="49">
        <v>45471</v>
      </c>
      <c r="C150" s="50" t="s">
        <v>389</v>
      </c>
      <c r="D150" s="50" t="s">
        <v>390</v>
      </c>
      <c r="E150" s="51">
        <v>905.08</v>
      </c>
      <c r="F150" s="51"/>
      <c r="G150" s="50" t="s">
        <v>119</v>
      </c>
      <c r="H150" s="50"/>
      <c r="I150" s="50" t="s">
        <v>333</v>
      </c>
    </row>
    <row r="151" spans="1:9" s="37" customFormat="1">
      <c r="A151" s="50">
        <v>150</v>
      </c>
      <c r="B151" s="49">
        <v>45472</v>
      </c>
      <c r="C151" s="50" t="s">
        <v>391</v>
      </c>
      <c r="D151" s="50" t="s">
        <v>392</v>
      </c>
      <c r="E151" s="51">
        <v>4975</v>
      </c>
      <c r="F151" s="51"/>
      <c r="G151" s="50" t="s">
        <v>119</v>
      </c>
      <c r="H151" s="50"/>
      <c r="I151" s="50" t="s">
        <v>393</v>
      </c>
    </row>
    <row r="152" spans="1:9" s="37" customFormat="1">
      <c r="A152" s="50">
        <v>151</v>
      </c>
      <c r="B152" s="49">
        <v>45471</v>
      </c>
      <c r="C152" s="50" t="s">
        <v>394</v>
      </c>
      <c r="D152" s="50" t="s">
        <v>395</v>
      </c>
      <c r="E152" s="51">
        <v>905.08</v>
      </c>
      <c r="F152" s="51"/>
      <c r="G152" s="50" t="s">
        <v>119</v>
      </c>
      <c r="H152" s="50"/>
      <c r="I152" s="50" t="s">
        <v>333</v>
      </c>
    </row>
    <row r="153" spans="1:9" s="37" customFormat="1">
      <c r="A153" s="50">
        <v>152</v>
      </c>
      <c r="B153" s="49">
        <v>45471</v>
      </c>
      <c r="C153" s="50" t="s">
        <v>396</v>
      </c>
      <c r="D153" s="50" t="s">
        <v>397</v>
      </c>
      <c r="E153" s="51">
        <v>1942.6</v>
      </c>
      <c r="F153" s="51"/>
      <c r="G153" s="50" t="s">
        <v>119</v>
      </c>
      <c r="H153" s="50"/>
      <c r="I153" s="50" t="s">
        <v>333</v>
      </c>
    </row>
    <row r="154" spans="1:9" s="37" customFormat="1">
      <c r="A154" s="50">
        <v>153</v>
      </c>
      <c r="B154" s="49">
        <v>45472</v>
      </c>
      <c r="C154" s="50" t="s">
        <v>398</v>
      </c>
      <c r="D154" s="50" t="s">
        <v>399</v>
      </c>
      <c r="E154" s="51">
        <v>891.75</v>
      </c>
      <c r="F154" s="51"/>
      <c r="G154" s="50" t="s">
        <v>119</v>
      </c>
      <c r="H154" s="50"/>
      <c r="I154" s="50" t="s">
        <v>333</v>
      </c>
    </row>
    <row r="155" spans="1:9" s="37" customFormat="1">
      <c r="A155" s="50">
        <v>154</v>
      </c>
      <c r="B155" s="49">
        <v>45471</v>
      </c>
      <c r="C155" s="50" t="s">
        <v>400</v>
      </c>
      <c r="D155" s="50" t="s">
        <v>401</v>
      </c>
      <c r="E155" s="51">
        <v>2119.1999999999998</v>
      </c>
      <c r="F155" s="51"/>
      <c r="G155" s="50" t="s">
        <v>136</v>
      </c>
      <c r="H155" s="50"/>
      <c r="I155" s="50" t="s">
        <v>333</v>
      </c>
    </row>
    <row r="156" spans="1:9" s="37" customFormat="1">
      <c r="A156" s="50">
        <v>155</v>
      </c>
      <c r="B156" s="49">
        <v>45472</v>
      </c>
      <c r="C156" s="50" t="s">
        <v>402</v>
      </c>
      <c r="D156" s="50" t="s">
        <v>403</v>
      </c>
      <c r="E156" s="51">
        <v>441.5</v>
      </c>
      <c r="F156" s="51"/>
      <c r="G156" s="50" t="s">
        <v>119</v>
      </c>
      <c r="H156" s="50"/>
      <c r="I156" s="50" t="s">
        <v>333</v>
      </c>
    </row>
    <row r="157" spans="1:9" s="37" customFormat="1">
      <c r="A157" s="50">
        <v>156</v>
      </c>
      <c r="B157" s="49">
        <v>45471</v>
      </c>
      <c r="C157" s="50" t="s">
        <v>404</v>
      </c>
      <c r="D157" s="50" t="s">
        <v>405</v>
      </c>
      <c r="E157" s="51">
        <v>3117.96</v>
      </c>
      <c r="F157" s="51"/>
      <c r="G157" s="50" t="s">
        <v>119</v>
      </c>
      <c r="H157" s="50"/>
      <c r="I157" s="50" t="s">
        <v>333</v>
      </c>
    </row>
    <row r="158" spans="1:9">
      <c r="A158" s="54">
        <v>157</v>
      </c>
      <c r="B158" s="55">
        <v>45469</v>
      </c>
      <c r="C158" s="54" t="s">
        <v>406</v>
      </c>
      <c r="D158" s="54" t="s">
        <v>142</v>
      </c>
      <c r="E158" s="56">
        <v>675</v>
      </c>
      <c r="F158" s="56"/>
      <c r="G158" s="54" t="s">
        <v>119</v>
      </c>
      <c r="H158" s="54"/>
      <c r="I158" s="54"/>
    </row>
    <row r="159" spans="1:9" s="37" customFormat="1">
      <c r="A159" s="50">
        <v>158</v>
      </c>
      <c r="B159" s="49">
        <v>45469</v>
      </c>
      <c r="C159" s="50" t="s">
        <v>407</v>
      </c>
      <c r="D159" s="50" t="s">
        <v>352</v>
      </c>
      <c r="E159" s="51">
        <v>5130</v>
      </c>
      <c r="F159" s="51"/>
      <c r="G159" s="50" t="s">
        <v>119</v>
      </c>
      <c r="H159" s="50"/>
      <c r="I159" s="50" t="s">
        <v>408</v>
      </c>
    </row>
    <row r="160" spans="1:9">
      <c r="A160" s="54">
        <v>159</v>
      </c>
      <c r="B160" s="55">
        <v>45469</v>
      </c>
      <c r="C160" s="54" t="s">
        <v>409</v>
      </c>
      <c r="D160" s="54" t="s">
        <v>151</v>
      </c>
      <c r="E160" s="56">
        <v>4376.22</v>
      </c>
      <c r="F160" s="56"/>
      <c r="G160" s="54" t="s">
        <v>119</v>
      </c>
      <c r="H160" s="54">
        <v>4.8</v>
      </c>
      <c r="I160" s="54"/>
    </row>
    <row r="161" spans="1:9" s="37" customFormat="1">
      <c r="A161" s="50">
        <v>160</v>
      </c>
      <c r="B161" s="49">
        <v>45471</v>
      </c>
      <c r="C161" s="50" t="s">
        <v>410</v>
      </c>
      <c r="D161" s="50" t="s">
        <v>411</v>
      </c>
      <c r="E161" s="51">
        <v>905.08</v>
      </c>
      <c r="F161" s="51"/>
      <c r="G161" s="50" t="s">
        <v>119</v>
      </c>
      <c r="H161" s="50"/>
      <c r="I161" s="50" t="s">
        <v>333</v>
      </c>
    </row>
    <row r="162" spans="1:9" s="37" customFormat="1">
      <c r="A162" s="50">
        <v>161</v>
      </c>
      <c r="B162" s="49">
        <v>45473</v>
      </c>
      <c r="C162" s="50" t="s">
        <v>412</v>
      </c>
      <c r="D162" s="50" t="s">
        <v>413</v>
      </c>
      <c r="E162" s="51">
        <v>905.08</v>
      </c>
      <c r="F162" s="51"/>
      <c r="G162" s="50" t="s">
        <v>119</v>
      </c>
      <c r="H162" s="50"/>
      <c r="I162" s="50" t="s">
        <v>333</v>
      </c>
    </row>
    <row r="163" spans="1:9" s="37" customFormat="1">
      <c r="A163" s="50">
        <v>162</v>
      </c>
      <c r="B163" s="49">
        <v>45471</v>
      </c>
      <c r="C163" s="50" t="s">
        <v>414</v>
      </c>
      <c r="D163" s="50" t="s">
        <v>415</v>
      </c>
      <c r="E163" s="51">
        <v>3445.95</v>
      </c>
      <c r="F163" s="51"/>
      <c r="G163" s="50" t="s">
        <v>136</v>
      </c>
      <c r="H163" s="50"/>
      <c r="I163" s="50" t="s">
        <v>333</v>
      </c>
    </row>
    <row r="164" spans="1:9" s="37" customFormat="1">
      <c r="A164" s="50">
        <v>163</v>
      </c>
      <c r="B164" s="49">
        <v>45473</v>
      </c>
      <c r="C164" s="50" t="s">
        <v>416</v>
      </c>
      <c r="D164" s="50" t="s">
        <v>417</v>
      </c>
      <c r="E164" s="51">
        <v>120.68</v>
      </c>
      <c r="F164" s="51"/>
      <c r="G164" s="50" t="s">
        <v>119</v>
      </c>
      <c r="H164" s="50"/>
      <c r="I164" s="50" t="s">
        <v>333</v>
      </c>
    </row>
    <row r="165" spans="1:9" s="37" customFormat="1">
      <c r="A165" s="50">
        <v>164</v>
      </c>
      <c r="B165" s="49">
        <v>45472</v>
      </c>
      <c r="C165" s="50" t="s">
        <v>418</v>
      </c>
      <c r="D165" s="50" t="s">
        <v>419</v>
      </c>
      <c r="E165" s="51">
        <v>2060.33</v>
      </c>
      <c r="F165" s="51"/>
      <c r="G165" s="50" t="s">
        <v>119</v>
      </c>
      <c r="H165" s="50"/>
      <c r="I165" s="50" t="s">
        <v>333</v>
      </c>
    </row>
    <row r="166" spans="1:9" s="37" customFormat="1">
      <c r="A166" s="50">
        <v>165</v>
      </c>
      <c r="B166" s="49">
        <v>45471</v>
      </c>
      <c r="C166" s="50" t="s">
        <v>420</v>
      </c>
      <c r="D166" s="50" t="s">
        <v>421</v>
      </c>
      <c r="E166" s="51">
        <v>891.75</v>
      </c>
      <c r="F166" s="51"/>
      <c r="G166" s="50" t="s">
        <v>119</v>
      </c>
      <c r="H166" s="50"/>
      <c r="I166" s="50" t="s">
        <v>333</v>
      </c>
    </row>
    <row r="167" spans="1:9" s="47" customFormat="1">
      <c r="A167" s="58">
        <v>166</v>
      </c>
      <c r="B167" s="59">
        <v>45473</v>
      </c>
      <c r="C167" s="58" t="s">
        <v>422</v>
      </c>
      <c r="D167" s="58" t="s">
        <v>423</v>
      </c>
      <c r="E167" s="60">
        <v>6204.5</v>
      </c>
      <c r="F167" s="60"/>
      <c r="G167" s="58" t="s">
        <v>119</v>
      </c>
      <c r="H167" s="58">
        <v>4.8</v>
      </c>
      <c r="I167" s="58" t="s">
        <v>424</v>
      </c>
    </row>
    <row r="168" spans="1:9" s="37" customFormat="1">
      <c r="A168" s="50">
        <v>167</v>
      </c>
      <c r="B168" s="49">
        <v>45469</v>
      </c>
      <c r="C168" s="50" t="s">
        <v>425</v>
      </c>
      <c r="D168" s="50" t="s">
        <v>316</v>
      </c>
      <c r="E168" s="51">
        <v>25000</v>
      </c>
      <c r="F168" s="51"/>
      <c r="G168" s="50" t="s">
        <v>119</v>
      </c>
      <c r="H168" s="50">
        <v>4.8</v>
      </c>
      <c r="I168" s="50" t="s">
        <v>426</v>
      </c>
    </row>
    <row r="169" spans="1:9" s="37" customFormat="1">
      <c r="A169" s="50">
        <v>168</v>
      </c>
      <c r="B169" s="49">
        <v>45470</v>
      </c>
      <c r="C169" s="50" t="s">
        <v>427</v>
      </c>
      <c r="D169" s="50" t="s">
        <v>316</v>
      </c>
      <c r="E169" s="51">
        <v>9720</v>
      </c>
      <c r="F169" s="51"/>
      <c r="G169" s="50" t="s">
        <v>119</v>
      </c>
      <c r="H169" s="50">
        <v>4.8</v>
      </c>
      <c r="I169" s="50" t="s">
        <v>426</v>
      </c>
    </row>
    <row r="170" spans="1:9">
      <c r="A170" s="54">
        <v>169</v>
      </c>
      <c r="B170" s="55">
        <v>45472</v>
      </c>
      <c r="C170" s="54" t="s">
        <v>428</v>
      </c>
      <c r="D170" s="54" t="s">
        <v>429</v>
      </c>
      <c r="E170" s="56">
        <v>4000</v>
      </c>
      <c r="F170" s="56"/>
      <c r="G170" s="54" t="s">
        <v>119</v>
      </c>
      <c r="H170" s="54"/>
      <c r="I170" s="54"/>
    </row>
    <row r="171" spans="1:9" s="37" customFormat="1">
      <c r="A171" s="50">
        <v>170</v>
      </c>
      <c r="B171" s="49">
        <v>45471</v>
      </c>
      <c r="C171" s="50" t="s">
        <v>430</v>
      </c>
      <c r="D171" s="50" t="s">
        <v>431</v>
      </c>
      <c r="E171" s="51">
        <v>1766</v>
      </c>
      <c r="F171" s="51"/>
      <c r="G171" s="50" t="s">
        <v>119</v>
      </c>
      <c r="H171" s="50"/>
      <c r="I171" s="50" t="s">
        <v>333</v>
      </c>
    </row>
    <row r="182" spans="3:4">
      <c r="C182" s="31"/>
      <c r="D182" s="31"/>
    </row>
    <row r="188" spans="3:4">
      <c r="C188" s="62"/>
      <c r="D188" s="62"/>
    </row>
    <row r="189" spans="3:4">
      <c r="C189" s="31"/>
      <c r="D189" s="31"/>
    </row>
  </sheetData>
  <autoFilter ref="A1:I171" xr:uid="{D6AAB40E-B93E-405B-BCCD-A2D476E8FC1C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E4A6-2145-4D88-9F71-A6E049D366EC}">
  <dimension ref="A1:H168"/>
  <sheetViews>
    <sheetView zoomScale="175" zoomScaleNormal="175" workbookViewId="0">
      <selection activeCell="A3" sqref="A3"/>
    </sheetView>
  </sheetViews>
  <sheetFormatPr baseColWidth="10" defaultColWidth="11.42578125" defaultRowHeight="15"/>
  <cols>
    <col min="2" max="2" width="22.28515625" customWidth="1"/>
    <col min="3" max="3" width="12.85546875" customWidth="1"/>
    <col min="4" max="4" width="12.7109375" customWidth="1"/>
    <col min="5" max="5" width="12.28515625" customWidth="1"/>
    <col min="6" max="6" width="10.140625" style="68" customWidth="1"/>
    <col min="7" max="7" width="65.42578125" customWidth="1"/>
    <col min="8" max="8" width="59.28515625" customWidth="1"/>
  </cols>
  <sheetData>
    <row r="1" spans="1:8">
      <c r="A1" s="15"/>
      <c r="B1" s="15"/>
      <c r="C1" s="32"/>
      <c r="D1" s="32"/>
      <c r="E1" s="28" t="s">
        <v>0</v>
      </c>
      <c r="F1" s="65"/>
      <c r="G1" s="29"/>
      <c r="H1" s="29"/>
    </row>
    <row r="2" spans="1:8">
      <c r="A2" s="30" t="s">
        <v>552</v>
      </c>
      <c r="B2" s="15"/>
      <c r="C2" s="32"/>
      <c r="D2" s="32"/>
      <c r="E2" s="28" t="s">
        <v>2</v>
      </c>
      <c r="F2" s="65"/>
      <c r="G2" s="29"/>
      <c r="H2" s="29"/>
    </row>
    <row r="3" spans="1:8">
      <c r="A3" s="30" t="s">
        <v>553</v>
      </c>
      <c r="B3" s="15"/>
      <c r="C3" s="32"/>
      <c r="D3" s="32"/>
      <c r="E3" s="28" t="s">
        <v>4</v>
      </c>
      <c r="F3" s="65"/>
      <c r="G3" s="29"/>
      <c r="H3" s="29"/>
    </row>
    <row r="4" spans="1:8">
      <c r="A4" s="29"/>
      <c r="B4" s="29"/>
      <c r="C4" s="31"/>
      <c r="D4" s="31"/>
      <c r="E4" s="29"/>
      <c r="F4" s="66"/>
      <c r="G4" s="29"/>
      <c r="H4" s="29"/>
    </row>
    <row r="5" spans="1:8">
      <c r="A5" s="7" t="s">
        <v>5</v>
      </c>
      <c r="B5" s="7" t="s">
        <v>6</v>
      </c>
      <c r="C5" s="33" t="s">
        <v>7</v>
      </c>
      <c r="D5" s="33" t="s">
        <v>8</v>
      </c>
      <c r="E5" s="9" t="s">
        <v>9</v>
      </c>
      <c r="F5" s="64" t="s">
        <v>432</v>
      </c>
      <c r="G5" s="63" t="s">
        <v>433</v>
      </c>
      <c r="H5" s="54" t="s">
        <v>434</v>
      </c>
    </row>
    <row r="6" spans="1:8">
      <c r="A6" s="10"/>
      <c r="B6" s="10" t="s">
        <v>11</v>
      </c>
      <c r="C6" s="48"/>
      <c r="D6" s="48">
        <v>0</v>
      </c>
      <c r="E6" s="45"/>
      <c r="F6" s="63"/>
      <c r="G6" s="63"/>
      <c r="H6" s="45"/>
    </row>
    <row r="7" spans="1:8" s="71" customFormat="1">
      <c r="A7" s="74"/>
      <c r="B7" s="54"/>
      <c r="C7" s="56"/>
      <c r="D7" s="56"/>
      <c r="E7" s="56">
        <f>D6-C7+D7</f>
        <v>0</v>
      </c>
      <c r="F7" s="75"/>
      <c r="G7" s="76"/>
      <c r="H7" s="54"/>
    </row>
    <row r="8" spans="1:8">
      <c r="A8" s="74"/>
      <c r="B8" s="54"/>
      <c r="C8" s="56"/>
      <c r="D8" s="56"/>
      <c r="E8" s="56">
        <f t="shared" ref="E8:E71" si="0">E7-C8+D8</f>
        <v>0</v>
      </c>
      <c r="F8" s="75"/>
      <c r="G8" s="76"/>
      <c r="H8" s="54"/>
    </row>
    <row r="9" spans="1:8">
      <c r="A9" s="74"/>
      <c r="B9" s="54"/>
      <c r="C9" s="56"/>
      <c r="D9" s="56"/>
      <c r="E9" s="56">
        <f t="shared" si="0"/>
        <v>0</v>
      </c>
      <c r="F9" s="77"/>
      <c r="G9" s="76"/>
      <c r="H9" s="54"/>
    </row>
    <row r="10" spans="1:8">
      <c r="A10" s="74"/>
      <c r="B10" s="54"/>
      <c r="C10" s="56"/>
      <c r="D10" s="56"/>
      <c r="E10" s="56">
        <f t="shared" si="0"/>
        <v>0</v>
      </c>
      <c r="F10" s="77"/>
      <c r="G10" s="76"/>
      <c r="H10" s="54"/>
    </row>
    <row r="11" spans="1:8">
      <c r="A11" s="74"/>
      <c r="B11" s="54"/>
      <c r="C11" s="56"/>
      <c r="D11" s="56"/>
      <c r="E11" s="56">
        <f t="shared" si="0"/>
        <v>0</v>
      </c>
      <c r="F11" s="77"/>
      <c r="G11" s="76"/>
      <c r="H11" s="54"/>
    </row>
    <row r="12" spans="1:8">
      <c r="A12" s="74"/>
      <c r="B12" s="54"/>
      <c r="C12" s="56"/>
      <c r="D12" s="56"/>
      <c r="E12" s="56">
        <f t="shared" si="0"/>
        <v>0</v>
      </c>
      <c r="F12" s="77"/>
      <c r="G12" s="76"/>
      <c r="H12" s="54"/>
    </row>
    <row r="13" spans="1:8">
      <c r="A13" s="74"/>
      <c r="B13" s="54"/>
      <c r="C13" s="56"/>
      <c r="D13" s="56"/>
      <c r="E13" s="56">
        <f t="shared" si="0"/>
        <v>0</v>
      </c>
      <c r="F13" s="77"/>
      <c r="G13" s="76"/>
      <c r="H13" s="54"/>
    </row>
    <row r="14" spans="1:8">
      <c r="A14" s="74"/>
      <c r="B14" s="54"/>
      <c r="C14" s="56"/>
      <c r="D14" s="56"/>
      <c r="E14" s="56">
        <f t="shared" si="0"/>
        <v>0</v>
      </c>
      <c r="F14" s="75"/>
      <c r="G14" s="76"/>
      <c r="H14" s="54"/>
    </row>
    <row r="15" spans="1:8">
      <c r="A15" s="74"/>
      <c r="B15" s="54"/>
      <c r="C15" s="56"/>
      <c r="D15" s="56"/>
      <c r="E15" s="56">
        <f t="shared" si="0"/>
        <v>0</v>
      </c>
      <c r="F15" s="77"/>
      <c r="G15" s="76"/>
      <c r="H15" s="54"/>
    </row>
    <row r="16" spans="1:8">
      <c r="A16" s="74"/>
      <c r="B16" s="54"/>
      <c r="C16" s="56"/>
      <c r="D16" s="56"/>
      <c r="E16" s="56">
        <f t="shared" si="0"/>
        <v>0</v>
      </c>
      <c r="F16" s="77"/>
      <c r="G16" s="76"/>
      <c r="H16" s="54"/>
    </row>
    <row r="17" spans="1:8">
      <c r="A17" s="74"/>
      <c r="B17" s="54"/>
      <c r="C17" s="56"/>
      <c r="D17" s="56"/>
      <c r="E17" s="56">
        <f t="shared" si="0"/>
        <v>0</v>
      </c>
      <c r="F17" s="77"/>
      <c r="G17" s="76"/>
      <c r="H17" s="54"/>
    </row>
    <row r="18" spans="1:8">
      <c r="A18" s="74"/>
      <c r="B18" s="54"/>
      <c r="C18" s="56"/>
      <c r="D18" s="56"/>
      <c r="E18" s="56">
        <f t="shared" si="0"/>
        <v>0</v>
      </c>
      <c r="F18" s="77"/>
      <c r="G18" s="76"/>
      <c r="H18" s="54"/>
    </row>
    <row r="19" spans="1:8">
      <c r="A19" s="74"/>
      <c r="B19" s="54"/>
      <c r="C19" s="56"/>
      <c r="D19" s="56"/>
      <c r="E19" s="56">
        <f t="shared" si="0"/>
        <v>0</v>
      </c>
      <c r="F19" s="77"/>
      <c r="G19" s="76"/>
      <c r="H19" s="54"/>
    </row>
    <row r="20" spans="1:8">
      <c r="A20" s="74"/>
      <c r="B20" s="54"/>
      <c r="C20" s="56"/>
      <c r="D20" s="56"/>
      <c r="E20" s="56">
        <f t="shared" si="0"/>
        <v>0</v>
      </c>
      <c r="F20" s="77"/>
      <c r="G20" s="76"/>
      <c r="H20" s="54"/>
    </row>
    <row r="21" spans="1:8">
      <c r="A21" s="74"/>
      <c r="B21" s="54"/>
      <c r="C21" s="56"/>
      <c r="D21" s="56"/>
      <c r="E21" s="56">
        <f t="shared" si="0"/>
        <v>0</v>
      </c>
      <c r="F21" s="77"/>
      <c r="G21" s="76"/>
      <c r="H21" s="54"/>
    </row>
    <row r="22" spans="1:8">
      <c r="A22" s="74"/>
      <c r="B22" s="54"/>
      <c r="C22" s="56"/>
      <c r="D22" s="56"/>
      <c r="E22" s="56">
        <f t="shared" si="0"/>
        <v>0</v>
      </c>
      <c r="F22" s="77"/>
      <c r="G22" s="76"/>
      <c r="H22" s="54"/>
    </row>
    <row r="23" spans="1:8">
      <c r="A23" s="74"/>
      <c r="B23" s="54"/>
      <c r="C23" s="56"/>
      <c r="D23" s="56"/>
      <c r="E23" s="56">
        <f t="shared" si="0"/>
        <v>0</v>
      </c>
      <c r="F23" s="77"/>
      <c r="G23" s="76"/>
      <c r="H23" s="54"/>
    </row>
    <row r="24" spans="1:8">
      <c r="A24" s="74"/>
      <c r="B24" s="54"/>
      <c r="C24" s="56"/>
      <c r="D24" s="56"/>
      <c r="E24" s="56">
        <f t="shared" si="0"/>
        <v>0</v>
      </c>
      <c r="F24" s="77"/>
      <c r="G24" s="76"/>
      <c r="H24" s="54"/>
    </row>
    <row r="25" spans="1:8">
      <c r="A25" s="74"/>
      <c r="B25" s="54"/>
      <c r="C25" s="56"/>
      <c r="D25" s="56"/>
      <c r="E25" s="56">
        <f t="shared" si="0"/>
        <v>0</v>
      </c>
      <c r="F25" s="77"/>
      <c r="G25" s="76"/>
      <c r="H25" s="54"/>
    </row>
    <row r="26" spans="1:8">
      <c r="A26" s="74"/>
      <c r="B26" s="54"/>
      <c r="C26" s="56"/>
      <c r="D26" s="56"/>
      <c r="E26" s="56">
        <f t="shared" si="0"/>
        <v>0</v>
      </c>
      <c r="F26" s="77"/>
      <c r="G26" s="76"/>
      <c r="H26" s="54"/>
    </row>
    <row r="27" spans="1:8">
      <c r="A27" s="74"/>
      <c r="B27" s="54"/>
      <c r="C27" s="56"/>
      <c r="D27" s="56"/>
      <c r="E27" s="56">
        <f t="shared" si="0"/>
        <v>0</v>
      </c>
      <c r="F27" s="77"/>
      <c r="G27" s="76"/>
      <c r="H27" s="54"/>
    </row>
    <row r="28" spans="1:8">
      <c r="A28" s="74"/>
      <c r="B28" s="54"/>
      <c r="C28" s="56"/>
      <c r="D28" s="56"/>
      <c r="E28" s="56">
        <f t="shared" si="0"/>
        <v>0</v>
      </c>
      <c r="F28" s="77"/>
      <c r="G28" s="76"/>
      <c r="H28" s="54"/>
    </row>
    <row r="29" spans="1:8">
      <c r="A29" s="74"/>
      <c r="B29" s="54"/>
      <c r="C29" s="56"/>
      <c r="D29" s="56"/>
      <c r="E29" s="56">
        <f t="shared" si="0"/>
        <v>0</v>
      </c>
      <c r="F29" s="78"/>
      <c r="G29" s="54"/>
      <c r="H29" s="54"/>
    </row>
    <row r="30" spans="1:8">
      <c r="A30" s="74"/>
      <c r="B30" s="54"/>
      <c r="C30" s="56"/>
      <c r="D30" s="56"/>
      <c r="E30" s="56">
        <f t="shared" si="0"/>
        <v>0</v>
      </c>
      <c r="F30" s="77"/>
      <c r="G30" s="76"/>
      <c r="H30" s="54"/>
    </row>
    <row r="31" spans="1:8">
      <c r="A31" s="74"/>
      <c r="B31" s="54"/>
      <c r="C31" s="56"/>
      <c r="D31" s="56"/>
      <c r="E31" s="56">
        <f t="shared" si="0"/>
        <v>0</v>
      </c>
      <c r="F31" s="78"/>
      <c r="G31" s="54"/>
      <c r="H31" s="54"/>
    </row>
    <row r="32" spans="1:8">
      <c r="A32" s="74"/>
      <c r="B32" s="54"/>
      <c r="C32" s="56"/>
      <c r="D32" s="56"/>
      <c r="E32" s="56">
        <f t="shared" si="0"/>
        <v>0</v>
      </c>
      <c r="F32" s="78"/>
      <c r="G32" s="79"/>
      <c r="H32" s="54"/>
    </row>
    <row r="33" spans="1:8">
      <c r="A33" s="74"/>
      <c r="B33" s="54"/>
      <c r="C33" s="56"/>
      <c r="D33" s="56"/>
      <c r="E33" s="56">
        <f t="shared" si="0"/>
        <v>0</v>
      </c>
      <c r="F33" s="78"/>
      <c r="G33" s="79"/>
      <c r="H33" s="54"/>
    </row>
    <row r="34" spans="1:8">
      <c r="A34" s="74"/>
      <c r="B34" s="54"/>
      <c r="C34" s="56"/>
      <c r="D34" s="56"/>
      <c r="E34" s="56">
        <f t="shared" si="0"/>
        <v>0</v>
      </c>
      <c r="F34" s="78"/>
      <c r="G34" s="54"/>
      <c r="H34" s="54"/>
    </row>
    <row r="35" spans="1:8">
      <c r="A35" s="74"/>
      <c r="B35" s="54"/>
      <c r="C35" s="56"/>
      <c r="D35" s="56"/>
      <c r="E35" s="56">
        <f t="shared" si="0"/>
        <v>0</v>
      </c>
      <c r="F35" s="77"/>
      <c r="G35" s="76"/>
      <c r="H35" s="54"/>
    </row>
    <row r="36" spans="1:8">
      <c r="A36" s="74"/>
      <c r="B36" s="54"/>
      <c r="C36" s="56"/>
      <c r="D36" s="56"/>
      <c r="E36" s="56">
        <f t="shared" si="0"/>
        <v>0</v>
      </c>
      <c r="F36" s="77"/>
      <c r="G36" s="76"/>
      <c r="H36" s="54"/>
    </row>
    <row r="37" spans="1:8">
      <c r="A37" s="74"/>
      <c r="B37" s="54"/>
      <c r="C37" s="56"/>
      <c r="D37" s="56"/>
      <c r="E37" s="56">
        <f t="shared" si="0"/>
        <v>0</v>
      </c>
      <c r="F37" s="77"/>
      <c r="G37" s="76"/>
      <c r="H37" s="54"/>
    </row>
    <row r="38" spans="1:8">
      <c r="A38" s="74"/>
      <c r="B38" s="54"/>
      <c r="C38" s="56"/>
      <c r="D38" s="56"/>
      <c r="E38" s="56">
        <f t="shared" si="0"/>
        <v>0</v>
      </c>
      <c r="F38" s="78"/>
      <c r="G38" s="54"/>
      <c r="H38" s="54"/>
    </row>
    <row r="39" spans="1:8">
      <c r="A39" s="74"/>
      <c r="B39" s="54"/>
      <c r="C39" s="56"/>
      <c r="D39" s="56"/>
      <c r="E39" s="56">
        <f t="shared" si="0"/>
        <v>0</v>
      </c>
      <c r="F39" s="78"/>
      <c r="G39" s="80"/>
      <c r="H39" s="54"/>
    </row>
    <row r="40" spans="1:8">
      <c r="A40" s="74"/>
      <c r="B40" s="54"/>
      <c r="C40" s="56"/>
      <c r="D40" s="56"/>
      <c r="E40" s="56">
        <f t="shared" si="0"/>
        <v>0</v>
      </c>
      <c r="F40" s="77"/>
      <c r="G40" s="76"/>
      <c r="H40" s="54"/>
    </row>
    <row r="41" spans="1:8">
      <c r="A41" s="74"/>
      <c r="B41" s="54"/>
      <c r="C41" s="56"/>
      <c r="D41" s="56"/>
      <c r="E41" s="56">
        <f t="shared" si="0"/>
        <v>0</v>
      </c>
      <c r="F41" s="77"/>
      <c r="G41" s="76"/>
      <c r="H41" s="54"/>
    </row>
    <row r="42" spans="1:8">
      <c r="A42" s="74"/>
      <c r="B42" s="54"/>
      <c r="C42" s="56"/>
      <c r="D42" s="56"/>
      <c r="E42" s="56">
        <f t="shared" si="0"/>
        <v>0</v>
      </c>
      <c r="F42" s="77"/>
      <c r="G42" s="76"/>
      <c r="H42" s="54"/>
    </row>
    <row r="43" spans="1:8">
      <c r="A43" s="74"/>
      <c r="B43" s="54"/>
      <c r="C43" s="56"/>
      <c r="D43" s="56"/>
      <c r="E43" s="56">
        <f t="shared" si="0"/>
        <v>0</v>
      </c>
      <c r="F43" s="77"/>
      <c r="G43" s="76"/>
      <c r="H43" s="54"/>
    </row>
    <row r="44" spans="1:8">
      <c r="A44" s="74"/>
      <c r="B44" s="54"/>
      <c r="C44" s="56"/>
      <c r="D44" s="56"/>
      <c r="E44" s="56">
        <f t="shared" si="0"/>
        <v>0</v>
      </c>
      <c r="F44" s="77"/>
      <c r="G44" s="76"/>
      <c r="H44" s="54"/>
    </row>
    <row r="45" spans="1:8">
      <c r="A45" s="74"/>
      <c r="B45" s="54"/>
      <c r="C45" s="56"/>
      <c r="D45" s="56"/>
      <c r="E45" s="56">
        <f t="shared" si="0"/>
        <v>0</v>
      </c>
      <c r="F45" s="77"/>
      <c r="G45" s="76"/>
      <c r="H45" s="54"/>
    </row>
    <row r="46" spans="1:8">
      <c r="A46" s="74"/>
      <c r="B46" s="54"/>
      <c r="C46" s="56"/>
      <c r="D46" s="56"/>
      <c r="E46" s="56">
        <f t="shared" si="0"/>
        <v>0</v>
      </c>
      <c r="F46" s="77"/>
      <c r="G46" s="76"/>
      <c r="H46" s="54"/>
    </row>
    <row r="47" spans="1:8">
      <c r="A47" s="74"/>
      <c r="B47" s="54"/>
      <c r="C47" s="56"/>
      <c r="D47" s="56"/>
      <c r="E47" s="56">
        <f t="shared" si="0"/>
        <v>0</v>
      </c>
      <c r="F47" s="77"/>
      <c r="G47" s="76"/>
      <c r="H47" s="54"/>
    </row>
    <row r="48" spans="1:8">
      <c r="A48" s="74"/>
      <c r="B48" s="54"/>
      <c r="C48" s="56"/>
      <c r="D48" s="56"/>
      <c r="E48" s="56">
        <f t="shared" si="0"/>
        <v>0</v>
      </c>
      <c r="F48" s="77"/>
      <c r="G48" s="76"/>
      <c r="H48" s="54"/>
    </row>
    <row r="49" spans="1:8">
      <c r="A49" s="74"/>
      <c r="B49" s="54"/>
      <c r="C49" s="56"/>
      <c r="D49" s="56"/>
      <c r="E49" s="56">
        <f t="shared" si="0"/>
        <v>0</v>
      </c>
      <c r="F49" s="78"/>
      <c r="G49" s="54"/>
      <c r="H49" s="54"/>
    </row>
    <row r="50" spans="1:8">
      <c r="A50" s="74"/>
      <c r="B50" s="54"/>
      <c r="C50" s="56"/>
      <c r="D50" s="56"/>
      <c r="E50" s="56">
        <f t="shared" si="0"/>
        <v>0</v>
      </c>
      <c r="F50" s="77"/>
      <c r="G50" s="76"/>
      <c r="H50" s="54"/>
    </row>
    <row r="51" spans="1:8">
      <c r="A51" s="74"/>
      <c r="B51" s="54"/>
      <c r="C51" s="56"/>
      <c r="D51" s="56"/>
      <c r="E51" s="56">
        <f t="shared" si="0"/>
        <v>0</v>
      </c>
      <c r="F51" s="77"/>
      <c r="G51" s="76"/>
      <c r="H51" s="54"/>
    </row>
    <row r="52" spans="1:8">
      <c r="A52" s="74"/>
      <c r="B52" s="54"/>
      <c r="C52" s="56"/>
      <c r="D52" s="56"/>
      <c r="E52" s="56">
        <f t="shared" si="0"/>
        <v>0</v>
      </c>
      <c r="F52" s="77"/>
      <c r="G52" s="76"/>
      <c r="H52" s="54"/>
    </row>
    <row r="53" spans="1:8">
      <c r="A53" s="74"/>
      <c r="B53" s="54"/>
      <c r="C53" s="56"/>
      <c r="D53" s="56"/>
      <c r="E53" s="56">
        <f t="shared" si="0"/>
        <v>0</v>
      </c>
      <c r="F53" s="77"/>
      <c r="G53" s="76"/>
      <c r="H53" s="54"/>
    </row>
    <row r="54" spans="1:8">
      <c r="A54" s="74"/>
      <c r="B54" s="54"/>
      <c r="C54" s="56"/>
      <c r="D54" s="56"/>
      <c r="E54" s="56">
        <f t="shared" si="0"/>
        <v>0</v>
      </c>
      <c r="F54" s="77"/>
      <c r="G54" s="76"/>
      <c r="H54" s="54"/>
    </row>
    <row r="55" spans="1:8">
      <c r="A55" s="74"/>
      <c r="B55" s="54"/>
      <c r="C55" s="56"/>
      <c r="D55" s="56"/>
      <c r="E55" s="56">
        <f t="shared" si="0"/>
        <v>0</v>
      </c>
      <c r="F55" s="77"/>
      <c r="G55" s="76"/>
      <c r="H55" s="54"/>
    </row>
    <row r="56" spans="1:8">
      <c r="A56" s="74"/>
      <c r="B56" s="54"/>
      <c r="C56" s="56"/>
      <c r="D56" s="56"/>
      <c r="E56" s="56">
        <f t="shared" si="0"/>
        <v>0</v>
      </c>
      <c r="F56" s="77"/>
      <c r="G56" s="76"/>
      <c r="H56" s="54"/>
    </row>
    <row r="57" spans="1:8">
      <c r="A57" s="74"/>
      <c r="B57" s="54"/>
      <c r="C57" s="56"/>
      <c r="D57" s="56"/>
      <c r="E57" s="56">
        <f t="shared" si="0"/>
        <v>0</v>
      </c>
      <c r="F57" s="77"/>
      <c r="G57" s="76"/>
      <c r="H57" s="54"/>
    </row>
    <row r="58" spans="1:8">
      <c r="A58" s="73"/>
      <c r="B58" s="54"/>
      <c r="C58" s="56"/>
      <c r="D58" s="56"/>
      <c r="E58" s="56">
        <f t="shared" si="0"/>
        <v>0</v>
      </c>
      <c r="F58" s="77"/>
      <c r="G58" s="76"/>
      <c r="H58" s="54"/>
    </row>
    <row r="59" spans="1:8">
      <c r="A59" s="73"/>
      <c r="B59" s="54"/>
      <c r="C59" s="56"/>
      <c r="D59" s="56"/>
      <c r="E59" s="56">
        <f t="shared" si="0"/>
        <v>0</v>
      </c>
      <c r="F59" s="77"/>
      <c r="G59" s="76"/>
      <c r="H59" s="54"/>
    </row>
    <row r="60" spans="1:8" s="71" customFormat="1">
      <c r="A60" s="73"/>
      <c r="B60" s="54"/>
      <c r="C60" s="56"/>
      <c r="D60" s="56"/>
      <c r="E60" s="56">
        <f t="shared" si="0"/>
        <v>0</v>
      </c>
      <c r="F60" s="77"/>
      <c r="G60" s="76"/>
      <c r="H60" s="54"/>
    </row>
    <row r="61" spans="1:8" s="71" customFormat="1">
      <c r="A61" s="73"/>
      <c r="B61" s="54"/>
      <c r="C61" s="56"/>
      <c r="D61" s="56"/>
      <c r="E61" s="56">
        <f t="shared" si="0"/>
        <v>0</v>
      </c>
      <c r="F61" s="77"/>
      <c r="G61" s="76"/>
      <c r="H61" s="54"/>
    </row>
    <row r="62" spans="1:8" s="71" customFormat="1">
      <c r="A62" s="73"/>
      <c r="B62" s="54"/>
      <c r="C62" s="56"/>
      <c r="D62" s="56"/>
      <c r="E62" s="56">
        <f t="shared" si="0"/>
        <v>0</v>
      </c>
      <c r="F62" s="77"/>
      <c r="G62" s="76"/>
      <c r="H62" s="54"/>
    </row>
    <row r="63" spans="1:8" s="71" customFormat="1">
      <c r="A63" s="73"/>
      <c r="B63" s="54"/>
      <c r="C63" s="56"/>
      <c r="D63" s="56"/>
      <c r="E63" s="56">
        <f t="shared" si="0"/>
        <v>0</v>
      </c>
      <c r="F63" s="77"/>
      <c r="G63" s="76"/>
      <c r="H63" s="54"/>
    </row>
    <row r="64" spans="1:8" s="71" customFormat="1">
      <c r="A64" s="73"/>
      <c r="B64" s="54"/>
      <c r="C64" s="56"/>
      <c r="D64" s="56"/>
      <c r="E64" s="56">
        <f t="shared" si="0"/>
        <v>0</v>
      </c>
      <c r="F64" s="77"/>
      <c r="G64" s="76"/>
      <c r="H64" s="54"/>
    </row>
    <row r="65" spans="1:8" s="71" customFormat="1">
      <c r="A65" s="73"/>
      <c r="B65" s="54"/>
      <c r="C65" s="56"/>
      <c r="D65" s="56"/>
      <c r="E65" s="56">
        <f t="shared" si="0"/>
        <v>0</v>
      </c>
      <c r="F65" s="77"/>
      <c r="G65" s="76"/>
      <c r="H65" s="54"/>
    </row>
    <row r="66" spans="1:8" s="71" customFormat="1">
      <c r="A66" s="73"/>
      <c r="B66" s="54"/>
      <c r="C66" s="56"/>
      <c r="D66" s="56"/>
      <c r="E66" s="56">
        <f t="shared" si="0"/>
        <v>0</v>
      </c>
      <c r="F66" s="77"/>
      <c r="G66" s="76"/>
      <c r="H66" s="54"/>
    </row>
    <row r="67" spans="1:8" s="71" customFormat="1">
      <c r="A67" s="73"/>
      <c r="B67" s="54"/>
      <c r="C67" s="56"/>
      <c r="D67" s="56"/>
      <c r="E67" s="56">
        <f t="shared" si="0"/>
        <v>0</v>
      </c>
      <c r="F67" s="77"/>
      <c r="G67" s="76"/>
      <c r="H67" s="54"/>
    </row>
    <row r="68" spans="1:8" s="71" customFormat="1">
      <c r="A68" s="73"/>
      <c r="B68" s="54"/>
      <c r="C68" s="56"/>
      <c r="D68" s="56"/>
      <c r="E68" s="56">
        <f t="shared" si="0"/>
        <v>0</v>
      </c>
      <c r="F68" s="77"/>
      <c r="G68" s="76"/>
      <c r="H68" s="54"/>
    </row>
    <row r="69" spans="1:8" s="71" customFormat="1">
      <c r="A69" s="73"/>
      <c r="B69" s="54"/>
      <c r="C69" s="56"/>
      <c r="D69" s="56"/>
      <c r="E69" s="56">
        <f t="shared" si="0"/>
        <v>0</v>
      </c>
      <c r="F69" s="77"/>
      <c r="G69" s="76"/>
      <c r="H69" s="54"/>
    </row>
    <row r="70" spans="1:8">
      <c r="A70" s="73"/>
      <c r="B70" s="54"/>
      <c r="C70" s="56"/>
      <c r="D70" s="56"/>
      <c r="E70" s="56">
        <f t="shared" si="0"/>
        <v>0</v>
      </c>
      <c r="F70" s="75"/>
      <c r="G70" s="76"/>
      <c r="H70" s="54"/>
    </row>
    <row r="71" spans="1:8">
      <c r="A71" s="74"/>
      <c r="B71" s="54"/>
      <c r="C71" s="56"/>
      <c r="D71" s="56"/>
      <c r="E71" s="56">
        <f t="shared" si="0"/>
        <v>0</v>
      </c>
      <c r="F71" s="77"/>
      <c r="G71" s="76"/>
      <c r="H71" s="54"/>
    </row>
    <row r="72" spans="1:8">
      <c r="A72" s="74"/>
      <c r="B72" s="54"/>
      <c r="C72" s="56"/>
      <c r="D72" s="56"/>
      <c r="E72" s="56">
        <f t="shared" ref="E72:E135" si="1">E71-C72+D72</f>
        <v>0</v>
      </c>
      <c r="F72" s="77"/>
      <c r="G72" s="76"/>
      <c r="H72" s="54"/>
    </row>
    <row r="73" spans="1:8" s="72" customFormat="1">
      <c r="A73" s="74"/>
      <c r="B73" s="54"/>
      <c r="C73" s="56"/>
      <c r="D73" s="56"/>
      <c r="E73" s="56">
        <f t="shared" si="1"/>
        <v>0</v>
      </c>
      <c r="F73" s="77"/>
      <c r="G73" s="76"/>
      <c r="H73" s="54"/>
    </row>
    <row r="74" spans="1:8">
      <c r="A74" s="74"/>
      <c r="B74" s="54"/>
      <c r="C74" s="56"/>
      <c r="D74" s="56"/>
      <c r="E74" s="56">
        <f t="shared" si="1"/>
        <v>0</v>
      </c>
      <c r="F74" s="77"/>
      <c r="G74" s="76"/>
      <c r="H74" s="54"/>
    </row>
    <row r="75" spans="1:8">
      <c r="A75" s="74"/>
      <c r="B75" s="54"/>
      <c r="C75" s="56"/>
      <c r="D75" s="56"/>
      <c r="E75" s="56">
        <f t="shared" si="1"/>
        <v>0</v>
      </c>
      <c r="F75" s="77"/>
      <c r="G75" s="76"/>
      <c r="H75" s="54"/>
    </row>
    <row r="76" spans="1:8">
      <c r="A76" s="74"/>
      <c r="B76" s="54"/>
      <c r="C76" s="56"/>
      <c r="D76" s="56"/>
      <c r="E76" s="56">
        <f t="shared" si="1"/>
        <v>0</v>
      </c>
      <c r="F76" s="77"/>
      <c r="G76" s="76"/>
      <c r="H76" s="54"/>
    </row>
    <row r="77" spans="1:8">
      <c r="A77" s="74"/>
      <c r="B77" s="54"/>
      <c r="C77" s="56"/>
      <c r="D77" s="56"/>
      <c r="E77" s="56">
        <f t="shared" si="1"/>
        <v>0</v>
      </c>
      <c r="F77" s="77"/>
      <c r="G77" s="76"/>
      <c r="H77" s="54"/>
    </row>
    <row r="78" spans="1:8">
      <c r="A78" s="74"/>
      <c r="B78" s="54"/>
      <c r="C78" s="56"/>
      <c r="D78" s="56"/>
      <c r="E78" s="56">
        <f t="shared" si="1"/>
        <v>0</v>
      </c>
      <c r="F78" s="77"/>
      <c r="G78" s="76"/>
      <c r="H78" s="54"/>
    </row>
    <row r="79" spans="1:8">
      <c r="A79" s="74"/>
      <c r="B79" s="54"/>
      <c r="C79" s="56"/>
      <c r="D79" s="56"/>
      <c r="E79" s="56">
        <f t="shared" si="1"/>
        <v>0</v>
      </c>
      <c r="F79" s="77"/>
      <c r="G79" s="76"/>
      <c r="H79" s="54"/>
    </row>
    <row r="80" spans="1:8">
      <c r="A80" s="74"/>
      <c r="B80" s="54"/>
      <c r="C80" s="56"/>
      <c r="D80" s="56"/>
      <c r="E80" s="56">
        <f t="shared" si="1"/>
        <v>0</v>
      </c>
      <c r="F80" s="77"/>
      <c r="G80" s="76"/>
      <c r="H80" s="54"/>
    </row>
    <row r="81" spans="1:8">
      <c r="A81" s="74"/>
      <c r="B81" s="54"/>
      <c r="C81" s="56"/>
      <c r="D81" s="56"/>
      <c r="E81" s="56">
        <f t="shared" si="1"/>
        <v>0</v>
      </c>
      <c r="F81" s="77"/>
      <c r="G81" s="76"/>
      <c r="H81" s="54"/>
    </row>
    <row r="82" spans="1:8">
      <c r="A82" s="74"/>
      <c r="B82" s="54"/>
      <c r="C82" s="56"/>
      <c r="D82" s="56"/>
      <c r="E82" s="56">
        <f t="shared" si="1"/>
        <v>0</v>
      </c>
      <c r="F82" s="77"/>
      <c r="G82" s="76"/>
      <c r="H82" s="54"/>
    </row>
    <row r="83" spans="1:8">
      <c r="A83" s="74"/>
      <c r="B83" s="54"/>
      <c r="C83" s="56"/>
      <c r="D83" s="56"/>
      <c r="E83" s="56">
        <f t="shared" si="1"/>
        <v>0</v>
      </c>
      <c r="F83" s="77"/>
      <c r="G83" s="76"/>
      <c r="H83" s="54"/>
    </row>
    <row r="84" spans="1:8">
      <c r="A84" s="74"/>
      <c r="B84" s="54"/>
      <c r="C84" s="56"/>
      <c r="D84" s="56"/>
      <c r="E84" s="56">
        <f t="shared" si="1"/>
        <v>0</v>
      </c>
      <c r="F84" s="77"/>
      <c r="G84" s="76"/>
      <c r="H84" s="54"/>
    </row>
    <row r="85" spans="1:8">
      <c r="A85" s="74"/>
      <c r="B85" s="54"/>
      <c r="C85" s="56"/>
      <c r="D85" s="56"/>
      <c r="E85" s="56">
        <f t="shared" si="1"/>
        <v>0</v>
      </c>
      <c r="F85" s="77"/>
      <c r="G85" s="76"/>
      <c r="H85" s="54"/>
    </row>
    <row r="86" spans="1:8">
      <c r="A86" s="74"/>
      <c r="B86" s="54"/>
      <c r="C86" s="56"/>
      <c r="D86" s="56"/>
      <c r="E86" s="56">
        <f t="shared" si="1"/>
        <v>0</v>
      </c>
      <c r="F86" s="77"/>
      <c r="G86" s="76"/>
      <c r="H86" s="54"/>
    </row>
    <row r="87" spans="1:8">
      <c r="A87" s="74"/>
      <c r="B87" s="54"/>
      <c r="C87" s="56"/>
      <c r="D87" s="56"/>
      <c r="E87" s="56">
        <f t="shared" si="1"/>
        <v>0</v>
      </c>
      <c r="F87" s="77"/>
      <c r="G87" s="76"/>
      <c r="H87" s="54"/>
    </row>
    <row r="88" spans="1:8">
      <c r="A88" s="74"/>
      <c r="B88" s="54"/>
      <c r="C88" s="56"/>
      <c r="D88" s="56"/>
      <c r="E88" s="56">
        <f t="shared" si="1"/>
        <v>0</v>
      </c>
      <c r="F88" s="77"/>
      <c r="G88" s="76"/>
      <c r="H88" s="54"/>
    </row>
    <row r="89" spans="1:8">
      <c r="A89" s="74"/>
      <c r="B89" s="54"/>
      <c r="C89" s="56"/>
      <c r="D89" s="56"/>
      <c r="E89" s="56">
        <f t="shared" si="1"/>
        <v>0</v>
      </c>
      <c r="F89" s="77"/>
      <c r="G89" s="76"/>
      <c r="H89" s="54"/>
    </row>
    <row r="90" spans="1:8">
      <c r="A90" s="74"/>
      <c r="B90" s="54"/>
      <c r="C90" s="56"/>
      <c r="D90" s="56"/>
      <c r="E90" s="56">
        <f t="shared" si="1"/>
        <v>0</v>
      </c>
      <c r="F90" s="77"/>
      <c r="G90" s="76"/>
      <c r="H90" s="54"/>
    </row>
    <row r="91" spans="1:8">
      <c r="A91" s="74"/>
      <c r="B91" s="54"/>
      <c r="C91" s="56"/>
      <c r="D91" s="56"/>
      <c r="E91" s="56">
        <f t="shared" si="1"/>
        <v>0</v>
      </c>
      <c r="F91" s="77"/>
      <c r="G91" s="76"/>
      <c r="H91" s="54"/>
    </row>
    <row r="92" spans="1:8">
      <c r="A92" s="74"/>
      <c r="B92" s="54"/>
      <c r="C92" s="56"/>
      <c r="D92" s="56"/>
      <c r="E92" s="56">
        <f t="shared" si="1"/>
        <v>0</v>
      </c>
      <c r="F92" s="77"/>
      <c r="G92" s="76"/>
      <c r="H92" s="54"/>
    </row>
    <row r="93" spans="1:8">
      <c r="A93" s="74"/>
      <c r="B93" s="54"/>
      <c r="C93" s="56"/>
      <c r="D93" s="56"/>
      <c r="E93" s="56">
        <f t="shared" si="1"/>
        <v>0</v>
      </c>
      <c r="F93" s="78"/>
      <c r="G93" s="76"/>
      <c r="H93" s="54"/>
    </row>
    <row r="94" spans="1:8">
      <c r="A94" s="74"/>
      <c r="B94" s="54"/>
      <c r="C94" s="56"/>
      <c r="D94" s="56"/>
      <c r="E94" s="56">
        <f t="shared" si="1"/>
        <v>0</v>
      </c>
      <c r="F94" s="77"/>
      <c r="G94" s="81"/>
      <c r="H94" s="54"/>
    </row>
    <row r="95" spans="1:8">
      <c r="A95" s="74"/>
      <c r="B95" s="54"/>
      <c r="C95" s="56"/>
      <c r="D95" s="56"/>
      <c r="E95" s="56">
        <f t="shared" si="1"/>
        <v>0</v>
      </c>
      <c r="F95" s="77"/>
      <c r="G95" s="76"/>
      <c r="H95" s="54"/>
    </row>
    <row r="96" spans="1:8">
      <c r="A96" s="74"/>
      <c r="B96" s="54"/>
      <c r="C96" s="56"/>
      <c r="D96" s="56"/>
      <c r="E96" s="56">
        <f t="shared" si="1"/>
        <v>0</v>
      </c>
      <c r="F96" s="77"/>
      <c r="G96" s="76"/>
      <c r="H96" s="54"/>
    </row>
    <row r="97" spans="1:8">
      <c r="A97" s="74"/>
      <c r="B97" s="54"/>
      <c r="C97" s="56"/>
      <c r="D97" s="56"/>
      <c r="E97" s="56">
        <f t="shared" si="1"/>
        <v>0</v>
      </c>
      <c r="F97" s="77"/>
      <c r="G97" s="69"/>
      <c r="H97" s="82"/>
    </row>
    <row r="98" spans="1:8">
      <c r="A98" s="74"/>
      <c r="B98" s="54"/>
      <c r="C98" s="56"/>
      <c r="D98" s="56"/>
      <c r="E98" s="56">
        <f t="shared" si="1"/>
        <v>0</v>
      </c>
      <c r="F98" s="77"/>
      <c r="G98" s="76"/>
      <c r="H98" s="82"/>
    </row>
    <row r="99" spans="1:8">
      <c r="A99" s="74"/>
      <c r="B99" s="54"/>
      <c r="C99" s="56"/>
      <c r="D99" s="56"/>
      <c r="E99" s="56">
        <f t="shared" si="1"/>
        <v>0</v>
      </c>
      <c r="F99" s="77"/>
      <c r="G99" s="76"/>
      <c r="H99" s="54"/>
    </row>
    <row r="100" spans="1:8" s="71" customFormat="1">
      <c r="A100" s="74"/>
      <c r="B100" s="54"/>
      <c r="C100" s="56"/>
      <c r="D100" s="56"/>
      <c r="E100" s="56">
        <f t="shared" si="1"/>
        <v>0</v>
      </c>
      <c r="F100" s="77"/>
      <c r="G100" s="69"/>
      <c r="H100" s="82"/>
    </row>
    <row r="101" spans="1:8">
      <c r="A101" s="74"/>
      <c r="B101" s="54"/>
      <c r="C101" s="56"/>
      <c r="D101" s="56"/>
      <c r="E101" s="56">
        <f t="shared" si="1"/>
        <v>0</v>
      </c>
      <c r="F101" s="77"/>
      <c r="G101" s="76"/>
      <c r="H101" s="54"/>
    </row>
    <row r="102" spans="1:8">
      <c r="A102" s="74"/>
      <c r="B102" s="54"/>
      <c r="C102" s="56"/>
      <c r="D102" s="56"/>
      <c r="E102" s="56">
        <f t="shared" si="1"/>
        <v>0</v>
      </c>
      <c r="F102" s="77"/>
      <c r="G102" s="76"/>
      <c r="H102" s="54"/>
    </row>
    <row r="103" spans="1:8" s="71" customFormat="1">
      <c r="A103" s="74"/>
      <c r="B103" s="54"/>
      <c r="C103" s="56"/>
      <c r="D103" s="56"/>
      <c r="E103" s="56">
        <f t="shared" si="1"/>
        <v>0</v>
      </c>
      <c r="F103" s="77"/>
      <c r="G103" s="69"/>
      <c r="H103" s="82"/>
    </row>
    <row r="104" spans="1:8">
      <c r="A104" s="74"/>
      <c r="B104" s="54"/>
      <c r="C104" s="56"/>
      <c r="D104" s="56"/>
      <c r="E104" s="56">
        <f t="shared" si="1"/>
        <v>0</v>
      </c>
      <c r="F104" s="77"/>
      <c r="G104" s="76"/>
      <c r="H104" s="54"/>
    </row>
    <row r="105" spans="1:8">
      <c r="A105" s="74"/>
      <c r="B105" s="54"/>
      <c r="C105" s="56"/>
      <c r="D105" s="56"/>
      <c r="E105" s="56">
        <f t="shared" si="1"/>
        <v>0</v>
      </c>
      <c r="F105" s="77"/>
      <c r="G105" s="76"/>
      <c r="H105" s="54"/>
    </row>
    <row r="106" spans="1:8">
      <c r="A106" s="74"/>
      <c r="B106" s="54"/>
      <c r="C106" s="56"/>
      <c r="D106" s="56"/>
      <c r="E106" s="56">
        <f t="shared" si="1"/>
        <v>0</v>
      </c>
      <c r="F106" s="77"/>
      <c r="G106" s="76"/>
      <c r="H106" s="54"/>
    </row>
    <row r="107" spans="1:8" s="71" customFormat="1">
      <c r="A107" s="74"/>
      <c r="B107" s="54"/>
      <c r="C107" s="56"/>
      <c r="D107" s="56"/>
      <c r="E107" s="56">
        <f t="shared" si="1"/>
        <v>0</v>
      </c>
      <c r="F107" s="77"/>
      <c r="G107" s="76"/>
      <c r="H107" s="54"/>
    </row>
    <row r="108" spans="1:8" s="71" customFormat="1">
      <c r="A108" s="74"/>
      <c r="B108" s="54"/>
      <c r="C108" s="56"/>
      <c r="D108" s="56"/>
      <c r="E108" s="56">
        <f t="shared" si="1"/>
        <v>0</v>
      </c>
      <c r="F108" s="77"/>
      <c r="G108" s="76"/>
      <c r="H108" s="54"/>
    </row>
    <row r="109" spans="1:8" s="71" customFormat="1">
      <c r="A109" s="74"/>
      <c r="B109" s="54"/>
      <c r="C109" s="56"/>
      <c r="D109" s="56"/>
      <c r="E109" s="56">
        <f t="shared" si="1"/>
        <v>0</v>
      </c>
      <c r="F109" s="77"/>
      <c r="G109" s="76"/>
      <c r="H109" s="54"/>
    </row>
    <row r="110" spans="1:8">
      <c r="A110" s="74"/>
      <c r="B110" s="54"/>
      <c r="C110" s="56"/>
      <c r="D110" s="56"/>
      <c r="E110" s="56">
        <f t="shared" si="1"/>
        <v>0</v>
      </c>
      <c r="F110" s="77"/>
      <c r="G110" s="76"/>
      <c r="H110" s="54"/>
    </row>
    <row r="111" spans="1:8" s="71" customFormat="1">
      <c r="A111" s="74"/>
      <c r="B111" s="54"/>
      <c r="C111" s="56"/>
      <c r="D111" s="56"/>
      <c r="E111" s="56">
        <f t="shared" si="1"/>
        <v>0</v>
      </c>
      <c r="F111" s="77"/>
      <c r="G111" s="76"/>
      <c r="H111" s="54"/>
    </row>
    <row r="112" spans="1:8">
      <c r="A112" s="74"/>
      <c r="B112" s="54"/>
      <c r="C112" s="56"/>
      <c r="D112" s="56"/>
      <c r="E112" s="56">
        <f t="shared" si="1"/>
        <v>0</v>
      </c>
      <c r="F112" s="77"/>
      <c r="G112" s="76"/>
      <c r="H112" s="54"/>
    </row>
    <row r="113" spans="1:8">
      <c r="A113" s="74"/>
      <c r="B113" s="54"/>
      <c r="C113" s="56"/>
      <c r="D113" s="56"/>
      <c r="E113" s="56">
        <f t="shared" si="1"/>
        <v>0</v>
      </c>
      <c r="F113" s="77"/>
      <c r="G113" s="76"/>
      <c r="H113" s="54"/>
    </row>
    <row r="114" spans="1:8">
      <c r="A114" s="74"/>
      <c r="B114" s="54"/>
      <c r="C114" s="56"/>
      <c r="D114" s="56"/>
      <c r="E114" s="56">
        <f t="shared" si="1"/>
        <v>0</v>
      </c>
      <c r="F114" s="77"/>
      <c r="G114" s="76"/>
      <c r="H114" s="54"/>
    </row>
    <row r="115" spans="1:8">
      <c r="A115" s="74"/>
      <c r="B115" s="54"/>
      <c r="C115" s="56"/>
      <c r="D115" s="56"/>
      <c r="E115" s="56">
        <f t="shared" si="1"/>
        <v>0</v>
      </c>
      <c r="F115" s="77"/>
      <c r="G115" s="76"/>
      <c r="H115" s="54"/>
    </row>
    <row r="116" spans="1:8">
      <c r="A116" s="74"/>
      <c r="B116" s="54"/>
      <c r="C116" s="56"/>
      <c r="D116" s="56"/>
      <c r="E116" s="56">
        <f t="shared" si="1"/>
        <v>0</v>
      </c>
      <c r="F116" s="77"/>
      <c r="G116" s="76"/>
      <c r="H116" s="54"/>
    </row>
    <row r="117" spans="1:8">
      <c r="A117" s="74"/>
      <c r="B117" s="54"/>
      <c r="C117" s="56"/>
      <c r="D117" s="56"/>
      <c r="E117" s="56">
        <f t="shared" si="1"/>
        <v>0</v>
      </c>
      <c r="F117" s="77"/>
      <c r="G117" s="76"/>
      <c r="H117" s="54"/>
    </row>
    <row r="118" spans="1:8">
      <c r="A118" s="74"/>
      <c r="B118" s="54"/>
      <c r="C118" s="56"/>
      <c r="D118" s="56"/>
      <c r="E118" s="56">
        <f t="shared" si="1"/>
        <v>0</v>
      </c>
      <c r="F118" s="77"/>
      <c r="G118" s="76"/>
      <c r="H118" s="54"/>
    </row>
    <row r="119" spans="1:8">
      <c r="A119" s="74"/>
      <c r="B119" s="54"/>
      <c r="C119" s="56"/>
      <c r="D119" s="56"/>
      <c r="E119" s="56">
        <f t="shared" si="1"/>
        <v>0</v>
      </c>
      <c r="F119" s="77"/>
      <c r="G119" s="69"/>
      <c r="H119" s="54"/>
    </row>
    <row r="120" spans="1:8">
      <c r="A120" s="74"/>
      <c r="B120" s="54"/>
      <c r="C120" s="56"/>
      <c r="D120" s="56"/>
      <c r="E120" s="56">
        <f t="shared" si="1"/>
        <v>0</v>
      </c>
      <c r="F120" s="77"/>
      <c r="G120" s="69"/>
      <c r="H120" s="54"/>
    </row>
    <row r="121" spans="1:8">
      <c r="A121" s="74"/>
      <c r="B121" s="54"/>
      <c r="C121" s="56"/>
      <c r="D121" s="56"/>
      <c r="E121" s="56">
        <f t="shared" si="1"/>
        <v>0</v>
      </c>
      <c r="F121" s="77"/>
      <c r="G121" s="69"/>
      <c r="H121" s="54"/>
    </row>
    <row r="122" spans="1:8">
      <c r="A122" s="74"/>
      <c r="B122" s="54"/>
      <c r="C122" s="56"/>
      <c r="D122" s="56"/>
      <c r="E122" s="56">
        <f t="shared" si="1"/>
        <v>0</v>
      </c>
      <c r="F122" s="77"/>
      <c r="G122" s="76"/>
      <c r="H122" s="54"/>
    </row>
    <row r="123" spans="1:8">
      <c r="A123" s="83"/>
      <c r="B123" s="54"/>
      <c r="C123" s="56"/>
      <c r="D123" s="84"/>
      <c r="E123" s="56">
        <f t="shared" si="1"/>
        <v>0</v>
      </c>
      <c r="F123" s="77"/>
      <c r="G123" s="76"/>
      <c r="H123" s="54"/>
    </row>
    <row r="124" spans="1:8">
      <c r="A124" s="74"/>
      <c r="B124" s="54"/>
      <c r="C124" s="56"/>
      <c r="D124" s="56"/>
      <c r="E124" s="56">
        <f t="shared" si="1"/>
        <v>0</v>
      </c>
      <c r="F124" s="77"/>
      <c r="G124" s="69"/>
      <c r="H124" s="54"/>
    </row>
    <row r="125" spans="1:8">
      <c r="A125" s="74"/>
      <c r="B125" s="54"/>
      <c r="C125" s="56"/>
      <c r="D125" s="56"/>
      <c r="E125" s="56">
        <f t="shared" si="1"/>
        <v>0</v>
      </c>
      <c r="F125" s="77"/>
      <c r="G125" s="76"/>
      <c r="H125" s="54"/>
    </row>
    <row r="126" spans="1:8">
      <c r="A126" s="74"/>
      <c r="B126" s="54"/>
      <c r="C126" s="56"/>
      <c r="D126" s="56"/>
      <c r="E126" s="56">
        <f t="shared" si="1"/>
        <v>0</v>
      </c>
      <c r="F126" s="77"/>
      <c r="G126" s="76"/>
      <c r="H126" s="54"/>
    </row>
    <row r="127" spans="1:8">
      <c r="A127" s="74"/>
      <c r="B127" s="54"/>
      <c r="C127" s="56"/>
      <c r="D127" s="56"/>
      <c r="E127" s="56">
        <f t="shared" si="1"/>
        <v>0</v>
      </c>
      <c r="F127" s="77"/>
      <c r="G127" s="76"/>
      <c r="H127" s="54"/>
    </row>
    <row r="128" spans="1:8">
      <c r="A128" s="74"/>
      <c r="B128" s="54"/>
      <c r="C128" s="56"/>
      <c r="D128" s="56"/>
      <c r="E128" s="56">
        <f t="shared" si="1"/>
        <v>0</v>
      </c>
      <c r="F128" s="77"/>
      <c r="G128" s="76"/>
      <c r="H128" s="54"/>
    </row>
    <row r="129" spans="1:8">
      <c r="A129" s="83"/>
      <c r="B129" s="54"/>
      <c r="C129" s="56"/>
      <c r="D129" s="56"/>
      <c r="E129" s="56">
        <f t="shared" si="1"/>
        <v>0</v>
      </c>
      <c r="F129" s="77"/>
      <c r="G129" s="76"/>
      <c r="H129" s="54"/>
    </row>
    <row r="130" spans="1:8">
      <c r="A130" s="74"/>
      <c r="B130" s="54"/>
      <c r="C130" s="56"/>
      <c r="D130" s="56"/>
      <c r="E130" s="56">
        <f t="shared" si="1"/>
        <v>0</v>
      </c>
      <c r="F130" s="77"/>
      <c r="G130" s="76"/>
      <c r="H130" s="54"/>
    </row>
    <row r="131" spans="1:8" s="71" customFormat="1">
      <c r="A131" s="74"/>
      <c r="B131" s="54"/>
      <c r="C131" s="56"/>
      <c r="D131" s="56"/>
      <c r="E131" s="56">
        <f t="shared" si="1"/>
        <v>0</v>
      </c>
      <c r="F131" s="77"/>
      <c r="G131" s="76"/>
      <c r="H131" s="54"/>
    </row>
    <row r="132" spans="1:8">
      <c r="A132" s="74"/>
      <c r="B132" s="54"/>
      <c r="C132" s="56"/>
      <c r="D132" s="56"/>
      <c r="E132" s="56">
        <f t="shared" si="1"/>
        <v>0</v>
      </c>
      <c r="F132" s="77"/>
      <c r="G132" s="76"/>
      <c r="H132" s="54"/>
    </row>
    <row r="133" spans="1:8">
      <c r="A133" s="74"/>
      <c r="B133" s="54"/>
      <c r="C133" s="56"/>
      <c r="D133" s="56"/>
      <c r="E133" s="56">
        <f t="shared" si="1"/>
        <v>0</v>
      </c>
      <c r="F133" s="77"/>
      <c r="G133" s="76"/>
      <c r="H133" s="54"/>
    </row>
    <row r="134" spans="1:8">
      <c r="A134" s="74"/>
      <c r="B134" s="54"/>
      <c r="C134" s="56"/>
      <c r="D134" s="56"/>
      <c r="E134" s="56">
        <f t="shared" si="1"/>
        <v>0</v>
      </c>
      <c r="F134" s="77"/>
      <c r="G134" s="76"/>
      <c r="H134" s="54"/>
    </row>
    <row r="135" spans="1:8">
      <c r="A135" s="74"/>
      <c r="B135" s="54"/>
      <c r="C135" s="56"/>
      <c r="D135" s="56"/>
      <c r="E135" s="56">
        <f t="shared" si="1"/>
        <v>0</v>
      </c>
      <c r="F135" s="77"/>
      <c r="G135" s="76"/>
      <c r="H135" s="54"/>
    </row>
    <row r="136" spans="1:8">
      <c r="A136" s="74"/>
      <c r="B136" s="54"/>
      <c r="C136" s="56"/>
      <c r="D136" s="56"/>
      <c r="E136" s="56">
        <f t="shared" ref="E136:E163" si="2">E135-C136+D136</f>
        <v>0</v>
      </c>
      <c r="F136" s="77"/>
      <c r="G136" s="76"/>
      <c r="H136" s="54"/>
    </row>
    <row r="137" spans="1:8">
      <c r="A137" s="74"/>
      <c r="B137" s="54"/>
      <c r="C137" s="56"/>
      <c r="D137" s="56"/>
      <c r="E137" s="56">
        <f t="shared" si="2"/>
        <v>0</v>
      </c>
      <c r="F137" s="77"/>
      <c r="G137" s="76"/>
      <c r="H137" s="82"/>
    </row>
    <row r="138" spans="1:8">
      <c r="A138" s="74"/>
      <c r="B138" s="54"/>
      <c r="C138" s="56"/>
      <c r="D138" s="56"/>
      <c r="E138" s="56">
        <f t="shared" si="2"/>
        <v>0</v>
      </c>
      <c r="F138" s="77"/>
      <c r="G138" s="76"/>
      <c r="H138" s="54"/>
    </row>
    <row r="139" spans="1:8">
      <c r="A139" s="74"/>
      <c r="B139" s="54"/>
      <c r="C139" s="56"/>
      <c r="D139" s="56"/>
      <c r="E139" s="56">
        <f t="shared" si="2"/>
        <v>0</v>
      </c>
      <c r="F139" s="77"/>
      <c r="G139" s="76"/>
      <c r="H139" s="54"/>
    </row>
    <row r="140" spans="1:8">
      <c r="A140" s="74"/>
      <c r="B140" s="54"/>
      <c r="C140" s="56"/>
      <c r="D140" s="56"/>
      <c r="E140" s="56">
        <f t="shared" si="2"/>
        <v>0</v>
      </c>
      <c r="F140" s="77"/>
      <c r="G140" s="76"/>
      <c r="H140" s="54"/>
    </row>
    <row r="141" spans="1:8">
      <c r="A141" s="74"/>
      <c r="B141" s="54"/>
      <c r="C141" s="56"/>
      <c r="D141" s="56"/>
      <c r="E141" s="56">
        <f t="shared" si="2"/>
        <v>0</v>
      </c>
      <c r="F141" s="77"/>
      <c r="G141" s="76"/>
      <c r="H141" s="54"/>
    </row>
    <row r="142" spans="1:8">
      <c r="A142" s="74"/>
      <c r="B142" s="54"/>
      <c r="C142" s="56"/>
      <c r="D142" s="56"/>
      <c r="E142" s="56">
        <f t="shared" si="2"/>
        <v>0</v>
      </c>
      <c r="F142" s="77"/>
      <c r="G142" s="76"/>
      <c r="H142" s="54"/>
    </row>
    <row r="143" spans="1:8">
      <c r="A143" s="74"/>
      <c r="B143" s="54"/>
      <c r="C143" s="56"/>
      <c r="D143" s="56"/>
      <c r="E143" s="56">
        <f t="shared" si="2"/>
        <v>0</v>
      </c>
      <c r="F143" s="77"/>
      <c r="G143" s="76"/>
      <c r="H143" s="54"/>
    </row>
    <row r="144" spans="1:8">
      <c r="A144" s="74"/>
      <c r="B144" s="54"/>
      <c r="C144" s="56"/>
      <c r="D144" s="56"/>
      <c r="E144" s="56">
        <f t="shared" si="2"/>
        <v>0</v>
      </c>
      <c r="F144" s="77"/>
      <c r="G144" s="76"/>
      <c r="H144" s="54"/>
    </row>
    <row r="145" spans="1:8">
      <c r="A145" s="74"/>
      <c r="B145" s="54"/>
      <c r="C145" s="56"/>
      <c r="D145" s="56"/>
      <c r="E145" s="56">
        <f t="shared" si="2"/>
        <v>0</v>
      </c>
      <c r="F145" s="77"/>
      <c r="G145" s="76"/>
      <c r="H145" s="54"/>
    </row>
    <row r="146" spans="1:8">
      <c r="A146" s="74"/>
      <c r="B146" s="54"/>
      <c r="C146" s="56"/>
      <c r="D146" s="56"/>
      <c r="E146" s="56">
        <f t="shared" si="2"/>
        <v>0</v>
      </c>
      <c r="F146" s="77"/>
      <c r="G146" s="76"/>
      <c r="H146" s="54"/>
    </row>
    <row r="147" spans="1:8">
      <c r="A147" s="74"/>
      <c r="B147" s="54"/>
      <c r="C147" s="56"/>
      <c r="D147" s="56"/>
      <c r="E147" s="56">
        <f t="shared" si="2"/>
        <v>0</v>
      </c>
      <c r="F147" s="77"/>
      <c r="G147" s="76"/>
      <c r="H147" s="54"/>
    </row>
    <row r="148" spans="1:8">
      <c r="A148" s="74"/>
      <c r="B148" s="54"/>
      <c r="C148" s="56"/>
      <c r="D148" s="56"/>
      <c r="E148" s="56">
        <f t="shared" si="2"/>
        <v>0</v>
      </c>
      <c r="F148" s="77"/>
      <c r="G148" s="76"/>
      <c r="H148" s="54"/>
    </row>
    <row r="149" spans="1:8">
      <c r="A149" s="74"/>
      <c r="B149" s="54"/>
      <c r="C149" s="56"/>
      <c r="D149" s="56"/>
      <c r="E149" s="56">
        <f t="shared" si="2"/>
        <v>0</v>
      </c>
      <c r="F149" s="77"/>
      <c r="G149" s="76"/>
      <c r="H149" s="54"/>
    </row>
    <row r="150" spans="1:8" s="71" customFormat="1">
      <c r="A150" s="74"/>
      <c r="B150" s="54"/>
      <c r="C150" s="56"/>
      <c r="D150" s="56"/>
      <c r="E150" s="56">
        <f t="shared" si="2"/>
        <v>0</v>
      </c>
      <c r="F150" s="77"/>
      <c r="G150" s="76"/>
      <c r="H150" s="54"/>
    </row>
    <row r="151" spans="1:8">
      <c r="A151" s="74"/>
      <c r="B151" s="54"/>
      <c r="C151" s="56"/>
      <c r="D151" s="56"/>
      <c r="E151" s="56">
        <f t="shared" si="2"/>
        <v>0</v>
      </c>
      <c r="F151" s="78"/>
      <c r="G151" s="76"/>
      <c r="H151" s="54"/>
    </row>
    <row r="152" spans="1:8">
      <c r="A152" s="74"/>
      <c r="B152" s="54"/>
      <c r="C152" s="56"/>
      <c r="D152" s="56"/>
      <c r="E152" s="56">
        <f t="shared" si="2"/>
        <v>0</v>
      </c>
      <c r="F152" s="77"/>
      <c r="G152" s="54"/>
      <c r="H152" s="54"/>
    </row>
    <row r="153" spans="1:8">
      <c r="A153" s="74"/>
      <c r="B153" s="54"/>
      <c r="C153" s="56"/>
      <c r="D153" s="56"/>
      <c r="E153" s="56">
        <f t="shared" si="2"/>
        <v>0</v>
      </c>
      <c r="F153" s="77"/>
      <c r="G153" s="76"/>
      <c r="H153" s="54"/>
    </row>
    <row r="154" spans="1:8">
      <c r="A154" s="74"/>
      <c r="B154" s="54"/>
      <c r="C154" s="56"/>
      <c r="D154" s="56"/>
      <c r="E154" s="56">
        <f t="shared" si="2"/>
        <v>0</v>
      </c>
      <c r="F154" s="77"/>
      <c r="G154" s="76"/>
      <c r="H154" s="54"/>
    </row>
    <row r="155" spans="1:8">
      <c r="A155" s="74"/>
      <c r="B155" s="54"/>
      <c r="C155" s="56"/>
      <c r="D155" s="56"/>
      <c r="E155" s="56">
        <f t="shared" si="2"/>
        <v>0</v>
      </c>
      <c r="F155" s="77"/>
      <c r="G155" s="76"/>
      <c r="H155" s="54"/>
    </row>
    <row r="156" spans="1:8">
      <c r="A156" s="74"/>
      <c r="B156" s="54"/>
      <c r="C156" s="56"/>
      <c r="D156" s="56"/>
      <c r="E156" s="56">
        <f t="shared" si="2"/>
        <v>0</v>
      </c>
      <c r="F156" s="77"/>
      <c r="G156" s="76"/>
      <c r="H156" s="54"/>
    </row>
    <row r="157" spans="1:8">
      <c r="A157" s="74"/>
      <c r="B157" s="54"/>
      <c r="C157" s="56"/>
      <c r="D157" s="56"/>
      <c r="E157" s="56">
        <f t="shared" si="2"/>
        <v>0</v>
      </c>
      <c r="F157" s="77"/>
      <c r="G157" s="76"/>
      <c r="H157" s="54"/>
    </row>
    <row r="158" spans="1:8">
      <c r="A158" s="74"/>
      <c r="B158" s="54"/>
      <c r="C158" s="56"/>
      <c r="D158" s="56"/>
      <c r="E158" s="56">
        <f t="shared" si="2"/>
        <v>0</v>
      </c>
      <c r="F158" s="77"/>
      <c r="G158" s="76"/>
      <c r="H158" s="54"/>
    </row>
    <row r="159" spans="1:8">
      <c r="A159" s="74"/>
      <c r="B159" s="54"/>
      <c r="C159" s="56"/>
      <c r="D159" s="56"/>
      <c r="E159" s="56">
        <f t="shared" si="2"/>
        <v>0</v>
      </c>
      <c r="F159" s="77"/>
      <c r="G159" s="76"/>
      <c r="H159" s="54"/>
    </row>
    <row r="160" spans="1:8">
      <c r="A160" s="74"/>
      <c r="B160" s="54"/>
      <c r="C160" s="56"/>
      <c r="D160" s="56"/>
      <c r="E160" s="56">
        <f t="shared" si="2"/>
        <v>0</v>
      </c>
      <c r="F160" s="77"/>
      <c r="G160" s="76"/>
      <c r="H160" s="54"/>
    </row>
    <row r="161" spans="1:8">
      <c r="A161" s="74"/>
      <c r="B161" s="54"/>
      <c r="C161" s="56"/>
      <c r="D161" s="56"/>
      <c r="E161" s="56">
        <f t="shared" si="2"/>
        <v>0</v>
      </c>
      <c r="F161" s="77"/>
      <c r="G161" s="76"/>
      <c r="H161" s="54"/>
    </row>
    <row r="162" spans="1:8">
      <c r="A162" s="74"/>
      <c r="B162" s="54"/>
      <c r="C162" s="56"/>
      <c r="D162" s="56"/>
      <c r="E162" s="56">
        <f t="shared" si="2"/>
        <v>0</v>
      </c>
      <c r="F162" s="77"/>
      <c r="G162" s="76"/>
      <c r="H162" s="54"/>
    </row>
    <row r="163" spans="1:8">
      <c r="A163" s="74"/>
      <c r="B163" s="54"/>
      <c r="C163" s="56"/>
      <c r="D163" s="56"/>
      <c r="E163" s="56">
        <f t="shared" si="2"/>
        <v>0</v>
      </c>
      <c r="F163" s="77"/>
      <c r="G163" s="76"/>
      <c r="H163" s="54"/>
    </row>
    <row r="164" spans="1:8">
      <c r="C164" s="70">
        <f>SUM(C7:C163)</f>
        <v>0</v>
      </c>
      <c r="D164" s="70">
        <f>SUM(D7:D163)</f>
        <v>0</v>
      </c>
      <c r="F164" s="67"/>
    </row>
    <row r="168" spans="1:8">
      <c r="H168" t="s">
        <v>435</v>
      </c>
    </row>
  </sheetData>
  <autoFilter ref="A5:H5" xr:uid="{163EE640-5476-4526-A73E-2E8E04840C34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6822-E249-4A19-B32E-AB10EE542333}">
  <dimension ref="A1:H168"/>
  <sheetViews>
    <sheetView tabSelected="1" topLeftCell="B3" zoomScale="175" zoomScaleNormal="175" workbookViewId="0">
      <selection activeCell="D10" sqref="D10"/>
    </sheetView>
  </sheetViews>
  <sheetFormatPr baseColWidth="10" defaultColWidth="11.42578125" defaultRowHeight="15"/>
  <cols>
    <col min="2" max="2" width="22.28515625" customWidth="1"/>
    <col min="3" max="3" width="12.85546875" customWidth="1"/>
    <col min="4" max="4" width="12.7109375" customWidth="1"/>
    <col min="5" max="5" width="12.28515625" customWidth="1"/>
    <col min="6" max="6" width="10.140625" style="68" customWidth="1"/>
    <col min="7" max="7" width="65.42578125" customWidth="1"/>
    <col min="8" max="8" width="59.28515625" customWidth="1"/>
  </cols>
  <sheetData>
    <row r="1" spans="1:8">
      <c r="A1" s="15"/>
      <c r="B1" s="15"/>
      <c r="C1" s="32"/>
      <c r="D1" s="32"/>
      <c r="E1" s="28" t="s">
        <v>0</v>
      </c>
      <c r="F1" s="65"/>
      <c r="G1" s="29"/>
      <c r="H1" s="29"/>
    </row>
    <row r="2" spans="1:8">
      <c r="A2" s="30" t="s">
        <v>552</v>
      </c>
      <c r="B2" s="15"/>
      <c r="C2" s="32"/>
      <c r="D2" s="32"/>
      <c r="E2" s="28" t="s">
        <v>2</v>
      </c>
      <c r="F2" s="65"/>
      <c r="G2" s="29"/>
      <c r="H2" s="29"/>
    </row>
    <row r="3" spans="1:8">
      <c r="A3" s="30" t="s">
        <v>553</v>
      </c>
      <c r="B3" s="15"/>
      <c r="C3" s="32"/>
      <c r="D3" s="32"/>
      <c r="E3" s="28" t="s">
        <v>4</v>
      </c>
      <c r="F3" s="65"/>
      <c r="G3" s="29"/>
      <c r="H3" s="29"/>
    </row>
    <row r="4" spans="1:8">
      <c r="A4" s="29"/>
      <c r="B4" s="29"/>
      <c r="C4" s="31"/>
      <c r="D4" s="31"/>
      <c r="E4" s="29"/>
      <c r="F4" s="66"/>
      <c r="G4" s="29"/>
      <c r="H4" s="29"/>
    </row>
    <row r="5" spans="1:8">
      <c r="A5" s="7" t="s">
        <v>5</v>
      </c>
      <c r="B5" s="7" t="s">
        <v>6</v>
      </c>
      <c r="C5" s="33" t="s">
        <v>7</v>
      </c>
      <c r="D5" s="33" t="s">
        <v>8</v>
      </c>
      <c r="E5" s="9" t="s">
        <v>9</v>
      </c>
      <c r="F5" s="64" t="s">
        <v>432</v>
      </c>
      <c r="G5" s="63" t="s">
        <v>433</v>
      </c>
      <c r="H5" s="54" t="s">
        <v>434</v>
      </c>
    </row>
    <row r="6" spans="1:8">
      <c r="A6" s="10"/>
      <c r="B6" s="10" t="s">
        <v>11</v>
      </c>
      <c r="C6" s="48"/>
      <c r="D6" s="48">
        <v>0</v>
      </c>
      <c r="E6" s="45"/>
      <c r="F6" s="63"/>
      <c r="G6" s="63"/>
      <c r="H6" s="45"/>
    </row>
    <row r="7" spans="1:8" s="71" customFormat="1">
      <c r="A7" s="74"/>
      <c r="B7" s="54"/>
      <c r="C7" s="56"/>
      <c r="D7" s="56"/>
      <c r="E7" s="56">
        <f>D6-C7+D7</f>
        <v>0</v>
      </c>
      <c r="F7" s="75"/>
      <c r="G7" s="76"/>
      <c r="H7" s="54"/>
    </row>
    <row r="8" spans="1:8">
      <c r="A8" s="74"/>
      <c r="B8" s="54"/>
      <c r="C8" s="56"/>
      <c r="D8" s="56"/>
      <c r="E8" s="56">
        <f t="shared" ref="E8:E71" si="0">E7-C8+D8</f>
        <v>0</v>
      </c>
      <c r="F8" s="75"/>
      <c r="G8" s="76"/>
      <c r="H8" s="54"/>
    </row>
    <row r="9" spans="1:8">
      <c r="A9" s="74"/>
      <c r="B9" s="54"/>
      <c r="C9" s="56"/>
      <c r="D9" s="56"/>
      <c r="E9" s="56">
        <f t="shared" si="0"/>
        <v>0</v>
      </c>
      <c r="F9" s="77"/>
      <c r="G9" s="76"/>
      <c r="H9" s="54"/>
    </row>
    <row r="10" spans="1:8">
      <c r="A10" s="74"/>
      <c r="B10" s="54"/>
      <c r="C10" s="56"/>
      <c r="D10" s="56"/>
      <c r="E10" s="56">
        <f t="shared" si="0"/>
        <v>0</v>
      </c>
      <c r="F10" s="77"/>
      <c r="G10" s="76"/>
      <c r="H10" s="54"/>
    </row>
    <row r="11" spans="1:8">
      <c r="A11" s="74"/>
      <c r="B11" s="54"/>
      <c r="C11" s="56"/>
      <c r="D11" s="56"/>
      <c r="E11" s="56">
        <f t="shared" si="0"/>
        <v>0</v>
      </c>
      <c r="F11" s="77"/>
      <c r="G11" s="76"/>
      <c r="H11" s="54"/>
    </row>
    <row r="12" spans="1:8">
      <c r="A12" s="74"/>
      <c r="B12" s="54"/>
      <c r="C12" s="56"/>
      <c r="D12" s="56"/>
      <c r="E12" s="56">
        <f t="shared" si="0"/>
        <v>0</v>
      </c>
      <c r="F12" s="77"/>
      <c r="G12" s="76"/>
      <c r="H12" s="54"/>
    </row>
    <row r="13" spans="1:8">
      <c r="A13" s="74"/>
      <c r="B13" s="54"/>
      <c r="C13" s="56"/>
      <c r="D13" s="56"/>
      <c r="E13" s="56">
        <f t="shared" si="0"/>
        <v>0</v>
      </c>
      <c r="F13" s="77"/>
      <c r="G13" s="76"/>
      <c r="H13" s="54"/>
    </row>
    <row r="14" spans="1:8">
      <c r="A14" s="74"/>
      <c r="B14" s="54"/>
      <c r="C14" s="56"/>
      <c r="D14" s="56"/>
      <c r="E14" s="56">
        <f t="shared" si="0"/>
        <v>0</v>
      </c>
      <c r="F14" s="75"/>
      <c r="G14" s="76"/>
      <c r="H14" s="54"/>
    </row>
    <row r="15" spans="1:8">
      <c r="A15" s="74"/>
      <c r="B15" s="54"/>
      <c r="C15" s="56"/>
      <c r="D15" s="56"/>
      <c r="E15" s="56">
        <f t="shared" si="0"/>
        <v>0</v>
      </c>
      <c r="F15" s="77"/>
      <c r="G15" s="76"/>
      <c r="H15" s="54"/>
    </row>
    <row r="16" spans="1:8">
      <c r="A16" s="74"/>
      <c r="B16" s="54"/>
      <c r="C16" s="56"/>
      <c r="D16" s="56"/>
      <c r="E16" s="56">
        <f t="shared" si="0"/>
        <v>0</v>
      </c>
      <c r="F16" s="77"/>
      <c r="G16" s="76"/>
      <c r="H16" s="54"/>
    </row>
    <row r="17" spans="1:8">
      <c r="A17" s="74"/>
      <c r="B17" s="54"/>
      <c r="C17" s="56"/>
      <c r="D17" s="56"/>
      <c r="E17" s="56">
        <f t="shared" si="0"/>
        <v>0</v>
      </c>
      <c r="F17" s="77"/>
      <c r="G17" s="76"/>
      <c r="H17" s="54"/>
    </row>
    <row r="18" spans="1:8">
      <c r="A18" s="74"/>
      <c r="B18" s="54"/>
      <c r="C18" s="56"/>
      <c r="D18" s="56"/>
      <c r="E18" s="56">
        <f t="shared" si="0"/>
        <v>0</v>
      </c>
      <c r="F18" s="77"/>
      <c r="G18" s="76"/>
      <c r="H18" s="54"/>
    </row>
    <row r="19" spans="1:8">
      <c r="A19" s="74"/>
      <c r="B19" s="54"/>
      <c r="C19" s="56"/>
      <c r="D19" s="56"/>
      <c r="E19" s="56">
        <f t="shared" si="0"/>
        <v>0</v>
      </c>
      <c r="F19" s="77"/>
      <c r="G19" s="76"/>
      <c r="H19" s="54"/>
    </row>
    <row r="20" spans="1:8">
      <c r="A20" s="74"/>
      <c r="B20" s="54"/>
      <c r="C20" s="56"/>
      <c r="D20" s="56"/>
      <c r="E20" s="56">
        <f t="shared" si="0"/>
        <v>0</v>
      </c>
      <c r="F20" s="77"/>
      <c r="G20" s="76"/>
      <c r="H20" s="54"/>
    </row>
    <row r="21" spans="1:8">
      <c r="A21" s="74"/>
      <c r="B21" s="54"/>
      <c r="C21" s="56"/>
      <c r="D21" s="56"/>
      <c r="E21" s="56">
        <f t="shared" si="0"/>
        <v>0</v>
      </c>
      <c r="F21" s="77"/>
      <c r="G21" s="76"/>
      <c r="H21" s="54"/>
    </row>
    <row r="22" spans="1:8">
      <c r="A22" s="74"/>
      <c r="B22" s="54"/>
      <c r="C22" s="56"/>
      <c r="D22" s="56"/>
      <c r="E22" s="56">
        <f t="shared" si="0"/>
        <v>0</v>
      </c>
      <c r="F22" s="77"/>
      <c r="G22" s="76"/>
      <c r="H22" s="54"/>
    </row>
    <row r="23" spans="1:8">
      <c r="A23" s="74"/>
      <c r="B23" s="54"/>
      <c r="C23" s="56"/>
      <c r="D23" s="56"/>
      <c r="E23" s="56">
        <f t="shared" si="0"/>
        <v>0</v>
      </c>
      <c r="F23" s="77"/>
      <c r="G23" s="76"/>
      <c r="H23" s="54"/>
    </row>
    <row r="24" spans="1:8">
      <c r="A24" s="74"/>
      <c r="B24" s="54"/>
      <c r="C24" s="56"/>
      <c r="D24" s="56"/>
      <c r="E24" s="56">
        <f t="shared" si="0"/>
        <v>0</v>
      </c>
      <c r="F24" s="77"/>
      <c r="G24" s="76"/>
      <c r="H24" s="54"/>
    </row>
    <row r="25" spans="1:8">
      <c r="A25" s="74"/>
      <c r="B25" s="54"/>
      <c r="C25" s="56"/>
      <c r="D25" s="56"/>
      <c r="E25" s="56">
        <f t="shared" si="0"/>
        <v>0</v>
      </c>
      <c r="F25" s="77"/>
      <c r="G25" s="76"/>
      <c r="H25" s="54"/>
    </row>
    <row r="26" spans="1:8">
      <c r="A26" s="74"/>
      <c r="B26" s="54"/>
      <c r="C26" s="56"/>
      <c r="D26" s="56"/>
      <c r="E26" s="56">
        <f t="shared" si="0"/>
        <v>0</v>
      </c>
      <c r="F26" s="77"/>
      <c r="G26" s="76"/>
      <c r="H26" s="54"/>
    </row>
    <row r="27" spans="1:8">
      <c r="A27" s="74"/>
      <c r="B27" s="54"/>
      <c r="C27" s="56"/>
      <c r="D27" s="56"/>
      <c r="E27" s="56">
        <f t="shared" si="0"/>
        <v>0</v>
      </c>
      <c r="F27" s="77"/>
      <c r="G27" s="76"/>
      <c r="H27" s="54"/>
    </row>
    <row r="28" spans="1:8">
      <c r="A28" s="74"/>
      <c r="B28" s="54"/>
      <c r="C28" s="56"/>
      <c r="D28" s="56"/>
      <c r="E28" s="56">
        <f t="shared" si="0"/>
        <v>0</v>
      </c>
      <c r="F28" s="77"/>
      <c r="G28" s="76"/>
      <c r="H28" s="54"/>
    </row>
    <row r="29" spans="1:8">
      <c r="A29" s="74"/>
      <c r="B29" s="54"/>
      <c r="C29" s="56"/>
      <c r="D29" s="56"/>
      <c r="E29" s="56">
        <f t="shared" si="0"/>
        <v>0</v>
      </c>
      <c r="F29" s="78"/>
      <c r="G29" s="54"/>
      <c r="H29" s="54"/>
    </row>
    <row r="30" spans="1:8">
      <c r="A30" s="74"/>
      <c r="B30" s="54"/>
      <c r="C30" s="56"/>
      <c r="D30" s="56"/>
      <c r="E30" s="56">
        <f t="shared" si="0"/>
        <v>0</v>
      </c>
      <c r="F30" s="77"/>
      <c r="G30" s="76"/>
      <c r="H30" s="54"/>
    </row>
    <row r="31" spans="1:8">
      <c r="A31" s="74"/>
      <c r="B31" s="54"/>
      <c r="C31" s="56"/>
      <c r="D31" s="56"/>
      <c r="E31" s="56">
        <f t="shared" si="0"/>
        <v>0</v>
      </c>
      <c r="F31" s="78"/>
      <c r="G31" s="54"/>
      <c r="H31" s="54"/>
    </row>
    <row r="32" spans="1:8">
      <c r="A32" s="74"/>
      <c r="B32" s="54"/>
      <c r="C32" s="56"/>
      <c r="D32" s="56"/>
      <c r="E32" s="56">
        <f t="shared" si="0"/>
        <v>0</v>
      </c>
      <c r="F32" s="78"/>
      <c r="G32" s="79"/>
      <c r="H32" s="54"/>
    </row>
    <row r="33" spans="1:8">
      <c r="A33" s="74"/>
      <c r="B33" s="54"/>
      <c r="C33" s="56"/>
      <c r="D33" s="56"/>
      <c r="E33" s="56">
        <f t="shared" si="0"/>
        <v>0</v>
      </c>
      <c r="F33" s="78"/>
      <c r="G33" s="79"/>
      <c r="H33" s="54"/>
    </row>
    <row r="34" spans="1:8">
      <c r="A34" s="74"/>
      <c r="B34" s="54"/>
      <c r="C34" s="56"/>
      <c r="D34" s="56"/>
      <c r="E34" s="56">
        <f t="shared" si="0"/>
        <v>0</v>
      </c>
      <c r="F34" s="78"/>
      <c r="G34" s="54"/>
      <c r="H34" s="54"/>
    </row>
    <row r="35" spans="1:8">
      <c r="A35" s="74"/>
      <c r="B35" s="54"/>
      <c r="C35" s="56"/>
      <c r="D35" s="56"/>
      <c r="E35" s="56">
        <f t="shared" si="0"/>
        <v>0</v>
      </c>
      <c r="F35" s="77"/>
      <c r="G35" s="76"/>
      <c r="H35" s="54"/>
    </row>
    <row r="36" spans="1:8">
      <c r="A36" s="74"/>
      <c r="B36" s="54"/>
      <c r="C36" s="56"/>
      <c r="D36" s="56"/>
      <c r="E36" s="56">
        <f t="shared" si="0"/>
        <v>0</v>
      </c>
      <c r="F36" s="77"/>
      <c r="G36" s="76"/>
      <c r="H36" s="54"/>
    </row>
    <row r="37" spans="1:8">
      <c r="A37" s="74"/>
      <c r="B37" s="54"/>
      <c r="C37" s="56"/>
      <c r="D37" s="56"/>
      <c r="E37" s="56">
        <f t="shared" si="0"/>
        <v>0</v>
      </c>
      <c r="F37" s="77"/>
      <c r="G37" s="76"/>
      <c r="H37" s="54"/>
    </row>
    <row r="38" spans="1:8">
      <c r="A38" s="74"/>
      <c r="B38" s="54"/>
      <c r="C38" s="56"/>
      <c r="D38" s="56"/>
      <c r="E38" s="56">
        <f t="shared" si="0"/>
        <v>0</v>
      </c>
      <c r="F38" s="78"/>
      <c r="G38" s="54"/>
      <c r="H38" s="54"/>
    </row>
    <row r="39" spans="1:8">
      <c r="A39" s="74"/>
      <c r="B39" s="54"/>
      <c r="C39" s="56"/>
      <c r="D39" s="56"/>
      <c r="E39" s="56">
        <f t="shared" si="0"/>
        <v>0</v>
      </c>
      <c r="F39" s="78"/>
      <c r="G39" s="80"/>
      <c r="H39" s="54"/>
    </row>
    <row r="40" spans="1:8">
      <c r="A40" s="74"/>
      <c r="B40" s="54"/>
      <c r="C40" s="56"/>
      <c r="D40" s="56"/>
      <c r="E40" s="56">
        <f t="shared" si="0"/>
        <v>0</v>
      </c>
      <c r="F40" s="77"/>
      <c r="G40" s="76"/>
      <c r="H40" s="54"/>
    </row>
    <row r="41" spans="1:8">
      <c r="A41" s="74"/>
      <c r="B41" s="54"/>
      <c r="C41" s="56"/>
      <c r="D41" s="56"/>
      <c r="E41" s="56">
        <f t="shared" si="0"/>
        <v>0</v>
      </c>
      <c r="F41" s="77"/>
      <c r="G41" s="76"/>
      <c r="H41" s="54"/>
    </row>
    <row r="42" spans="1:8">
      <c r="A42" s="74"/>
      <c r="B42" s="54"/>
      <c r="C42" s="56"/>
      <c r="D42" s="56"/>
      <c r="E42" s="56">
        <f t="shared" si="0"/>
        <v>0</v>
      </c>
      <c r="F42" s="77"/>
      <c r="G42" s="76"/>
      <c r="H42" s="54"/>
    </row>
    <row r="43" spans="1:8">
      <c r="A43" s="74"/>
      <c r="B43" s="54"/>
      <c r="C43" s="56"/>
      <c r="D43" s="56"/>
      <c r="E43" s="56">
        <f t="shared" si="0"/>
        <v>0</v>
      </c>
      <c r="F43" s="77"/>
      <c r="G43" s="76"/>
      <c r="H43" s="54"/>
    </row>
    <row r="44" spans="1:8">
      <c r="A44" s="74"/>
      <c r="B44" s="54"/>
      <c r="C44" s="56"/>
      <c r="D44" s="56"/>
      <c r="E44" s="56">
        <f t="shared" si="0"/>
        <v>0</v>
      </c>
      <c r="F44" s="77"/>
      <c r="G44" s="76"/>
      <c r="H44" s="54"/>
    </row>
    <row r="45" spans="1:8">
      <c r="A45" s="74"/>
      <c r="B45" s="54"/>
      <c r="C45" s="56"/>
      <c r="D45" s="56"/>
      <c r="E45" s="56">
        <f t="shared" si="0"/>
        <v>0</v>
      </c>
      <c r="F45" s="77"/>
      <c r="G45" s="76"/>
      <c r="H45" s="54"/>
    </row>
    <row r="46" spans="1:8">
      <c r="A46" s="74"/>
      <c r="B46" s="54"/>
      <c r="C46" s="56"/>
      <c r="D46" s="56"/>
      <c r="E46" s="56">
        <f t="shared" si="0"/>
        <v>0</v>
      </c>
      <c r="F46" s="77"/>
      <c r="G46" s="76"/>
      <c r="H46" s="54"/>
    </row>
    <row r="47" spans="1:8">
      <c r="A47" s="74"/>
      <c r="B47" s="54"/>
      <c r="C47" s="56"/>
      <c r="D47" s="56"/>
      <c r="E47" s="56">
        <f t="shared" si="0"/>
        <v>0</v>
      </c>
      <c r="F47" s="77"/>
      <c r="G47" s="76"/>
      <c r="H47" s="54"/>
    </row>
    <row r="48" spans="1:8">
      <c r="A48" s="74"/>
      <c r="B48" s="54"/>
      <c r="C48" s="56"/>
      <c r="D48" s="56"/>
      <c r="E48" s="56">
        <f t="shared" si="0"/>
        <v>0</v>
      </c>
      <c r="F48" s="77"/>
      <c r="G48" s="76"/>
      <c r="H48" s="54"/>
    </row>
    <row r="49" spans="1:8">
      <c r="A49" s="74"/>
      <c r="B49" s="54"/>
      <c r="C49" s="56"/>
      <c r="D49" s="56"/>
      <c r="E49" s="56">
        <f t="shared" si="0"/>
        <v>0</v>
      </c>
      <c r="F49" s="78"/>
      <c r="G49" s="54"/>
      <c r="H49" s="54"/>
    </row>
    <row r="50" spans="1:8">
      <c r="A50" s="74"/>
      <c r="B50" s="54"/>
      <c r="C50" s="56"/>
      <c r="D50" s="56"/>
      <c r="E50" s="56">
        <f t="shared" si="0"/>
        <v>0</v>
      </c>
      <c r="F50" s="77"/>
      <c r="G50" s="76"/>
      <c r="H50" s="54"/>
    </row>
    <row r="51" spans="1:8">
      <c r="A51" s="74"/>
      <c r="B51" s="54"/>
      <c r="C51" s="56"/>
      <c r="D51" s="56"/>
      <c r="E51" s="56">
        <f t="shared" si="0"/>
        <v>0</v>
      </c>
      <c r="F51" s="77"/>
      <c r="G51" s="76"/>
      <c r="H51" s="54"/>
    </row>
    <row r="52" spans="1:8">
      <c r="A52" s="74"/>
      <c r="B52" s="54"/>
      <c r="C52" s="56"/>
      <c r="D52" s="56"/>
      <c r="E52" s="56">
        <f t="shared" si="0"/>
        <v>0</v>
      </c>
      <c r="F52" s="77"/>
      <c r="G52" s="76"/>
      <c r="H52" s="54"/>
    </row>
    <row r="53" spans="1:8">
      <c r="A53" s="74"/>
      <c r="B53" s="54"/>
      <c r="C53" s="56"/>
      <c r="D53" s="56"/>
      <c r="E53" s="56">
        <f t="shared" si="0"/>
        <v>0</v>
      </c>
      <c r="F53" s="77"/>
      <c r="G53" s="76"/>
      <c r="H53" s="54"/>
    </row>
    <row r="54" spans="1:8">
      <c r="A54" s="74"/>
      <c r="B54" s="54"/>
      <c r="C54" s="56"/>
      <c r="D54" s="56"/>
      <c r="E54" s="56">
        <f t="shared" si="0"/>
        <v>0</v>
      </c>
      <c r="F54" s="77"/>
      <c r="G54" s="76"/>
      <c r="H54" s="54"/>
    </row>
    <row r="55" spans="1:8">
      <c r="A55" s="74"/>
      <c r="B55" s="54"/>
      <c r="C55" s="56"/>
      <c r="D55" s="56"/>
      <c r="E55" s="56">
        <f t="shared" si="0"/>
        <v>0</v>
      </c>
      <c r="F55" s="77"/>
      <c r="G55" s="76"/>
      <c r="H55" s="54"/>
    </row>
    <row r="56" spans="1:8">
      <c r="A56" s="74"/>
      <c r="B56" s="54"/>
      <c r="C56" s="56"/>
      <c r="D56" s="56"/>
      <c r="E56" s="56">
        <f t="shared" si="0"/>
        <v>0</v>
      </c>
      <c r="F56" s="77"/>
      <c r="G56" s="76"/>
      <c r="H56" s="54"/>
    </row>
    <row r="57" spans="1:8">
      <c r="A57" s="74"/>
      <c r="B57" s="54"/>
      <c r="C57" s="56"/>
      <c r="D57" s="56"/>
      <c r="E57" s="56">
        <f t="shared" si="0"/>
        <v>0</v>
      </c>
      <c r="F57" s="77"/>
      <c r="G57" s="76"/>
      <c r="H57" s="54"/>
    </row>
    <row r="58" spans="1:8">
      <c r="A58" s="73"/>
      <c r="B58" s="54"/>
      <c r="C58" s="56"/>
      <c r="D58" s="56"/>
      <c r="E58" s="56">
        <f t="shared" si="0"/>
        <v>0</v>
      </c>
      <c r="F58" s="77"/>
      <c r="G58" s="76"/>
      <c r="H58" s="54"/>
    </row>
    <row r="59" spans="1:8">
      <c r="A59" s="73"/>
      <c r="B59" s="54"/>
      <c r="C59" s="56"/>
      <c r="D59" s="56"/>
      <c r="E59" s="56">
        <f t="shared" si="0"/>
        <v>0</v>
      </c>
      <c r="F59" s="77"/>
      <c r="G59" s="76"/>
      <c r="H59" s="54"/>
    </row>
    <row r="60" spans="1:8" s="71" customFormat="1">
      <c r="A60" s="73"/>
      <c r="B60" s="54"/>
      <c r="C60" s="56"/>
      <c r="D60" s="56"/>
      <c r="E60" s="56">
        <f t="shared" si="0"/>
        <v>0</v>
      </c>
      <c r="F60" s="77"/>
      <c r="G60" s="76"/>
      <c r="H60" s="54"/>
    </row>
    <row r="61" spans="1:8" s="71" customFormat="1">
      <c r="A61" s="73"/>
      <c r="B61" s="54"/>
      <c r="C61" s="56"/>
      <c r="D61" s="56"/>
      <c r="E61" s="56">
        <f t="shared" si="0"/>
        <v>0</v>
      </c>
      <c r="F61" s="77"/>
      <c r="G61" s="76"/>
      <c r="H61" s="54"/>
    </row>
    <row r="62" spans="1:8" s="71" customFormat="1">
      <c r="A62" s="73"/>
      <c r="B62" s="54"/>
      <c r="C62" s="56"/>
      <c r="D62" s="56"/>
      <c r="E62" s="56">
        <f t="shared" si="0"/>
        <v>0</v>
      </c>
      <c r="F62" s="77"/>
      <c r="G62" s="76"/>
      <c r="H62" s="54"/>
    </row>
    <row r="63" spans="1:8" s="71" customFormat="1">
      <c r="A63" s="73"/>
      <c r="B63" s="54"/>
      <c r="C63" s="56"/>
      <c r="D63" s="56"/>
      <c r="E63" s="56">
        <f t="shared" si="0"/>
        <v>0</v>
      </c>
      <c r="F63" s="77"/>
      <c r="G63" s="76"/>
      <c r="H63" s="54"/>
    </row>
    <row r="64" spans="1:8" s="71" customFormat="1">
      <c r="A64" s="73"/>
      <c r="B64" s="54"/>
      <c r="C64" s="56"/>
      <c r="D64" s="56"/>
      <c r="E64" s="56">
        <f t="shared" si="0"/>
        <v>0</v>
      </c>
      <c r="F64" s="77"/>
      <c r="G64" s="76"/>
      <c r="H64" s="54"/>
    </row>
    <row r="65" spans="1:8" s="71" customFormat="1">
      <c r="A65" s="73"/>
      <c r="B65" s="54"/>
      <c r="C65" s="56"/>
      <c r="D65" s="56"/>
      <c r="E65" s="56">
        <f t="shared" si="0"/>
        <v>0</v>
      </c>
      <c r="F65" s="77"/>
      <c r="G65" s="76"/>
      <c r="H65" s="54"/>
    </row>
    <row r="66" spans="1:8" s="71" customFormat="1">
      <c r="A66" s="73"/>
      <c r="B66" s="54"/>
      <c r="C66" s="56"/>
      <c r="D66" s="56"/>
      <c r="E66" s="56">
        <f t="shared" si="0"/>
        <v>0</v>
      </c>
      <c r="F66" s="77"/>
      <c r="G66" s="76"/>
      <c r="H66" s="54"/>
    </row>
    <row r="67" spans="1:8" s="71" customFormat="1">
      <c r="A67" s="73"/>
      <c r="B67" s="54"/>
      <c r="C67" s="56"/>
      <c r="D67" s="56"/>
      <c r="E67" s="56">
        <f t="shared" si="0"/>
        <v>0</v>
      </c>
      <c r="F67" s="77"/>
      <c r="G67" s="76"/>
      <c r="H67" s="54"/>
    </row>
    <row r="68" spans="1:8" s="71" customFormat="1">
      <c r="A68" s="73"/>
      <c r="B68" s="54"/>
      <c r="C68" s="56"/>
      <c r="D68" s="56"/>
      <c r="E68" s="56">
        <f t="shared" si="0"/>
        <v>0</v>
      </c>
      <c r="F68" s="77"/>
      <c r="G68" s="76"/>
      <c r="H68" s="54"/>
    </row>
    <row r="69" spans="1:8" s="71" customFormat="1">
      <c r="A69" s="73"/>
      <c r="B69" s="54"/>
      <c r="C69" s="56"/>
      <c r="D69" s="56"/>
      <c r="E69" s="56">
        <f t="shared" si="0"/>
        <v>0</v>
      </c>
      <c r="F69" s="77"/>
      <c r="G69" s="76"/>
      <c r="H69" s="54"/>
    </row>
    <row r="70" spans="1:8">
      <c r="A70" s="73"/>
      <c r="B70" s="54"/>
      <c r="C70" s="56"/>
      <c r="D70" s="56"/>
      <c r="E70" s="56">
        <f t="shared" si="0"/>
        <v>0</v>
      </c>
      <c r="F70" s="75"/>
      <c r="G70" s="76"/>
      <c r="H70" s="54"/>
    </row>
    <row r="71" spans="1:8">
      <c r="A71" s="74"/>
      <c r="B71" s="54"/>
      <c r="C71" s="56"/>
      <c r="D71" s="56"/>
      <c r="E71" s="56">
        <f t="shared" si="0"/>
        <v>0</v>
      </c>
      <c r="F71" s="77"/>
      <c r="G71" s="76"/>
      <c r="H71" s="54"/>
    </row>
    <row r="72" spans="1:8">
      <c r="A72" s="74"/>
      <c r="B72" s="54"/>
      <c r="C72" s="56"/>
      <c r="D72" s="56"/>
      <c r="E72" s="56">
        <f t="shared" ref="E72:E135" si="1">E71-C72+D72</f>
        <v>0</v>
      </c>
      <c r="F72" s="77"/>
      <c r="G72" s="76"/>
      <c r="H72" s="54"/>
    </row>
    <row r="73" spans="1:8" s="72" customFormat="1">
      <c r="A73" s="74"/>
      <c r="B73" s="54"/>
      <c r="C73" s="56"/>
      <c r="D73" s="56"/>
      <c r="E73" s="56">
        <f t="shared" si="1"/>
        <v>0</v>
      </c>
      <c r="F73" s="77"/>
      <c r="G73" s="76"/>
      <c r="H73" s="54"/>
    </row>
    <row r="74" spans="1:8">
      <c r="A74" s="74"/>
      <c r="B74" s="54"/>
      <c r="C74" s="56"/>
      <c r="D74" s="56"/>
      <c r="E74" s="56">
        <f t="shared" si="1"/>
        <v>0</v>
      </c>
      <c r="F74" s="77"/>
      <c r="G74" s="76"/>
      <c r="H74" s="54"/>
    </row>
    <row r="75" spans="1:8">
      <c r="A75" s="74"/>
      <c r="B75" s="54"/>
      <c r="C75" s="56"/>
      <c r="D75" s="56"/>
      <c r="E75" s="56">
        <f t="shared" si="1"/>
        <v>0</v>
      </c>
      <c r="F75" s="77"/>
      <c r="G75" s="76"/>
      <c r="H75" s="54"/>
    </row>
    <row r="76" spans="1:8">
      <c r="A76" s="74"/>
      <c r="B76" s="54"/>
      <c r="C76" s="56"/>
      <c r="D76" s="56"/>
      <c r="E76" s="56">
        <f t="shared" si="1"/>
        <v>0</v>
      </c>
      <c r="F76" s="77"/>
      <c r="G76" s="76"/>
      <c r="H76" s="54"/>
    </row>
    <row r="77" spans="1:8">
      <c r="A77" s="74"/>
      <c r="B77" s="54"/>
      <c r="C77" s="56"/>
      <c r="D77" s="56"/>
      <c r="E77" s="56">
        <f t="shared" si="1"/>
        <v>0</v>
      </c>
      <c r="F77" s="77"/>
      <c r="G77" s="76"/>
      <c r="H77" s="54"/>
    </row>
    <row r="78" spans="1:8">
      <c r="A78" s="74"/>
      <c r="B78" s="54"/>
      <c r="C78" s="56"/>
      <c r="D78" s="56"/>
      <c r="E78" s="56">
        <f t="shared" si="1"/>
        <v>0</v>
      </c>
      <c r="F78" s="77"/>
      <c r="G78" s="76"/>
      <c r="H78" s="54"/>
    </row>
    <row r="79" spans="1:8">
      <c r="A79" s="74"/>
      <c r="B79" s="54"/>
      <c r="C79" s="56"/>
      <c r="D79" s="56"/>
      <c r="E79" s="56">
        <f t="shared" si="1"/>
        <v>0</v>
      </c>
      <c r="F79" s="77"/>
      <c r="G79" s="76"/>
      <c r="H79" s="54"/>
    </row>
    <row r="80" spans="1:8">
      <c r="A80" s="74"/>
      <c r="B80" s="54"/>
      <c r="C80" s="56"/>
      <c r="D80" s="56"/>
      <c r="E80" s="56">
        <f t="shared" si="1"/>
        <v>0</v>
      </c>
      <c r="F80" s="77"/>
      <c r="G80" s="76"/>
      <c r="H80" s="54"/>
    </row>
    <row r="81" spans="1:8">
      <c r="A81" s="74"/>
      <c r="B81" s="54"/>
      <c r="C81" s="56"/>
      <c r="D81" s="56"/>
      <c r="E81" s="56">
        <f t="shared" si="1"/>
        <v>0</v>
      </c>
      <c r="F81" s="77"/>
      <c r="G81" s="76"/>
      <c r="H81" s="54"/>
    </row>
    <row r="82" spans="1:8">
      <c r="A82" s="74"/>
      <c r="B82" s="54"/>
      <c r="C82" s="56"/>
      <c r="D82" s="56"/>
      <c r="E82" s="56">
        <f t="shared" si="1"/>
        <v>0</v>
      </c>
      <c r="F82" s="77"/>
      <c r="G82" s="76"/>
      <c r="H82" s="54"/>
    </row>
    <row r="83" spans="1:8">
      <c r="A83" s="74"/>
      <c r="B83" s="54"/>
      <c r="C83" s="56"/>
      <c r="D83" s="56"/>
      <c r="E83" s="56">
        <f t="shared" si="1"/>
        <v>0</v>
      </c>
      <c r="F83" s="77"/>
      <c r="G83" s="76"/>
      <c r="H83" s="54"/>
    </row>
    <row r="84" spans="1:8">
      <c r="A84" s="74"/>
      <c r="B84" s="54"/>
      <c r="C84" s="56"/>
      <c r="D84" s="56"/>
      <c r="E84" s="56">
        <f t="shared" si="1"/>
        <v>0</v>
      </c>
      <c r="F84" s="77"/>
      <c r="G84" s="76"/>
      <c r="H84" s="54"/>
    </row>
    <row r="85" spans="1:8">
      <c r="A85" s="74"/>
      <c r="B85" s="54"/>
      <c r="C85" s="56"/>
      <c r="D85" s="56"/>
      <c r="E85" s="56">
        <f t="shared" si="1"/>
        <v>0</v>
      </c>
      <c r="F85" s="77"/>
      <c r="G85" s="76"/>
      <c r="H85" s="54"/>
    </row>
    <row r="86" spans="1:8">
      <c r="A86" s="74"/>
      <c r="B86" s="54"/>
      <c r="C86" s="56"/>
      <c r="D86" s="56"/>
      <c r="E86" s="56">
        <f t="shared" si="1"/>
        <v>0</v>
      </c>
      <c r="F86" s="77"/>
      <c r="G86" s="76"/>
      <c r="H86" s="54"/>
    </row>
    <row r="87" spans="1:8">
      <c r="A87" s="74"/>
      <c r="B87" s="54"/>
      <c r="C87" s="56"/>
      <c r="D87" s="56"/>
      <c r="E87" s="56">
        <f t="shared" si="1"/>
        <v>0</v>
      </c>
      <c r="F87" s="77"/>
      <c r="G87" s="76"/>
      <c r="H87" s="54"/>
    </row>
    <row r="88" spans="1:8">
      <c r="A88" s="74"/>
      <c r="B88" s="54"/>
      <c r="C88" s="56"/>
      <c r="D88" s="56"/>
      <c r="E88" s="56">
        <f t="shared" si="1"/>
        <v>0</v>
      </c>
      <c r="F88" s="77"/>
      <c r="G88" s="76"/>
      <c r="H88" s="54"/>
    </row>
    <row r="89" spans="1:8">
      <c r="A89" s="74"/>
      <c r="B89" s="54"/>
      <c r="C89" s="56"/>
      <c r="D89" s="56"/>
      <c r="E89" s="56">
        <f t="shared" si="1"/>
        <v>0</v>
      </c>
      <c r="F89" s="77"/>
      <c r="G89" s="76"/>
      <c r="H89" s="54"/>
    </row>
    <row r="90" spans="1:8">
      <c r="A90" s="74"/>
      <c r="B90" s="54"/>
      <c r="C90" s="56"/>
      <c r="D90" s="56"/>
      <c r="E90" s="56">
        <f t="shared" si="1"/>
        <v>0</v>
      </c>
      <c r="F90" s="77"/>
      <c r="G90" s="76"/>
      <c r="H90" s="54"/>
    </row>
    <row r="91" spans="1:8">
      <c r="A91" s="74"/>
      <c r="B91" s="54"/>
      <c r="C91" s="56"/>
      <c r="D91" s="56"/>
      <c r="E91" s="56">
        <f t="shared" si="1"/>
        <v>0</v>
      </c>
      <c r="F91" s="77"/>
      <c r="G91" s="76"/>
      <c r="H91" s="54"/>
    </row>
    <row r="92" spans="1:8">
      <c r="A92" s="74"/>
      <c r="B92" s="54"/>
      <c r="C92" s="56"/>
      <c r="D92" s="56"/>
      <c r="E92" s="56">
        <f t="shared" si="1"/>
        <v>0</v>
      </c>
      <c r="F92" s="77"/>
      <c r="G92" s="76"/>
      <c r="H92" s="54"/>
    </row>
    <row r="93" spans="1:8">
      <c r="A93" s="74"/>
      <c r="B93" s="54"/>
      <c r="C93" s="56"/>
      <c r="D93" s="56"/>
      <c r="E93" s="56">
        <f t="shared" si="1"/>
        <v>0</v>
      </c>
      <c r="F93" s="78"/>
      <c r="G93" s="76"/>
      <c r="H93" s="54"/>
    </row>
    <row r="94" spans="1:8">
      <c r="A94" s="74"/>
      <c r="B94" s="54"/>
      <c r="C94" s="56"/>
      <c r="D94" s="56"/>
      <c r="E94" s="56">
        <f t="shared" si="1"/>
        <v>0</v>
      </c>
      <c r="F94" s="77"/>
      <c r="G94" s="81"/>
      <c r="H94" s="54"/>
    </row>
    <row r="95" spans="1:8">
      <c r="A95" s="74"/>
      <c r="B95" s="54"/>
      <c r="C95" s="56"/>
      <c r="D95" s="56"/>
      <c r="E95" s="56">
        <f t="shared" si="1"/>
        <v>0</v>
      </c>
      <c r="F95" s="77"/>
      <c r="G95" s="76"/>
      <c r="H95" s="54"/>
    </row>
    <row r="96" spans="1:8">
      <c r="A96" s="74"/>
      <c r="B96" s="54"/>
      <c r="C96" s="56"/>
      <c r="D96" s="56"/>
      <c r="E96" s="56">
        <f t="shared" si="1"/>
        <v>0</v>
      </c>
      <c r="F96" s="77"/>
      <c r="G96" s="76"/>
      <c r="H96" s="54"/>
    </row>
    <row r="97" spans="1:8">
      <c r="A97" s="74"/>
      <c r="B97" s="54"/>
      <c r="C97" s="56"/>
      <c r="D97" s="56"/>
      <c r="E97" s="56">
        <f t="shared" si="1"/>
        <v>0</v>
      </c>
      <c r="F97" s="77"/>
      <c r="G97" s="69"/>
      <c r="H97" s="82"/>
    </row>
    <row r="98" spans="1:8">
      <c r="A98" s="74"/>
      <c r="B98" s="54"/>
      <c r="C98" s="56"/>
      <c r="D98" s="56"/>
      <c r="E98" s="56">
        <f t="shared" si="1"/>
        <v>0</v>
      </c>
      <c r="F98" s="77"/>
      <c r="G98" s="76"/>
      <c r="H98" s="82"/>
    </row>
    <row r="99" spans="1:8">
      <c r="A99" s="74"/>
      <c r="B99" s="54"/>
      <c r="C99" s="56"/>
      <c r="D99" s="56"/>
      <c r="E99" s="56">
        <f t="shared" si="1"/>
        <v>0</v>
      </c>
      <c r="F99" s="77"/>
      <c r="G99" s="76"/>
      <c r="H99" s="54"/>
    </row>
    <row r="100" spans="1:8" s="71" customFormat="1">
      <c r="A100" s="74"/>
      <c r="B100" s="54"/>
      <c r="C100" s="56"/>
      <c r="D100" s="56"/>
      <c r="E100" s="56">
        <f t="shared" si="1"/>
        <v>0</v>
      </c>
      <c r="F100" s="77"/>
      <c r="G100" s="69"/>
      <c r="H100" s="82"/>
    </row>
    <row r="101" spans="1:8">
      <c r="A101" s="74"/>
      <c r="B101" s="54"/>
      <c r="C101" s="56"/>
      <c r="D101" s="56"/>
      <c r="E101" s="56">
        <f t="shared" si="1"/>
        <v>0</v>
      </c>
      <c r="F101" s="77"/>
      <c r="G101" s="76"/>
      <c r="H101" s="54"/>
    </row>
    <row r="102" spans="1:8">
      <c r="A102" s="74"/>
      <c r="B102" s="54"/>
      <c r="C102" s="56"/>
      <c r="D102" s="56"/>
      <c r="E102" s="56">
        <f t="shared" si="1"/>
        <v>0</v>
      </c>
      <c r="F102" s="77"/>
      <c r="G102" s="76"/>
      <c r="H102" s="54"/>
    </row>
    <row r="103" spans="1:8" s="71" customFormat="1">
      <c r="A103" s="74"/>
      <c r="B103" s="54"/>
      <c r="C103" s="56"/>
      <c r="D103" s="56"/>
      <c r="E103" s="56">
        <f t="shared" si="1"/>
        <v>0</v>
      </c>
      <c r="F103" s="77"/>
      <c r="G103" s="69"/>
      <c r="H103" s="82"/>
    </row>
    <row r="104" spans="1:8">
      <c r="A104" s="74"/>
      <c r="B104" s="54"/>
      <c r="C104" s="56"/>
      <c r="D104" s="56"/>
      <c r="E104" s="56">
        <f t="shared" si="1"/>
        <v>0</v>
      </c>
      <c r="F104" s="77"/>
      <c r="G104" s="76"/>
      <c r="H104" s="54"/>
    </row>
    <row r="105" spans="1:8">
      <c r="A105" s="74"/>
      <c r="B105" s="54"/>
      <c r="C105" s="56"/>
      <c r="D105" s="56"/>
      <c r="E105" s="56">
        <f t="shared" si="1"/>
        <v>0</v>
      </c>
      <c r="F105" s="77"/>
      <c r="G105" s="76"/>
      <c r="H105" s="54"/>
    </row>
    <row r="106" spans="1:8">
      <c r="A106" s="74"/>
      <c r="B106" s="54"/>
      <c r="C106" s="56"/>
      <c r="D106" s="56"/>
      <c r="E106" s="56">
        <f t="shared" si="1"/>
        <v>0</v>
      </c>
      <c r="F106" s="77"/>
      <c r="G106" s="76"/>
      <c r="H106" s="54"/>
    </row>
    <row r="107" spans="1:8" s="71" customFormat="1">
      <c r="A107" s="74"/>
      <c r="B107" s="54"/>
      <c r="C107" s="56"/>
      <c r="D107" s="56"/>
      <c r="E107" s="56">
        <f t="shared" si="1"/>
        <v>0</v>
      </c>
      <c r="F107" s="77"/>
      <c r="G107" s="76"/>
      <c r="H107" s="54"/>
    </row>
    <row r="108" spans="1:8" s="71" customFormat="1">
      <c r="A108" s="74"/>
      <c r="B108" s="54"/>
      <c r="C108" s="56"/>
      <c r="D108" s="56"/>
      <c r="E108" s="56">
        <f t="shared" si="1"/>
        <v>0</v>
      </c>
      <c r="F108" s="77"/>
      <c r="G108" s="76"/>
      <c r="H108" s="54"/>
    </row>
    <row r="109" spans="1:8" s="71" customFormat="1">
      <c r="A109" s="74"/>
      <c r="B109" s="54"/>
      <c r="C109" s="56"/>
      <c r="D109" s="56"/>
      <c r="E109" s="56">
        <f t="shared" si="1"/>
        <v>0</v>
      </c>
      <c r="F109" s="77"/>
      <c r="G109" s="76"/>
      <c r="H109" s="54"/>
    </row>
    <row r="110" spans="1:8">
      <c r="A110" s="74"/>
      <c r="B110" s="54"/>
      <c r="C110" s="56"/>
      <c r="D110" s="56"/>
      <c r="E110" s="56">
        <f t="shared" si="1"/>
        <v>0</v>
      </c>
      <c r="F110" s="77"/>
      <c r="G110" s="76"/>
      <c r="H110" s="54"/>
    </row>
    <row r="111" spans="1:8" s="71" customFormat="1">
      <c r="A111" s="74"/>
      <c r="B111" s="54"/>
      <c r="C111" s="56"/>
      <c r="D111" s="56"/>
      <c r="E111" s="56">
        <f t="shared" si="1"/>
        <v>0</v>
      </c>
      <c r="F111" s="77"/>
      <c r="G111" s="76"/>
      <c r="H111" s="54"/>
    </row>
    <row r="112" spans="1:8">
      <c r="A112" s="74"/>
      <c r="B112" s="54"/>
      <c r="C112" s="56"/>
      <c r="D112" s="56"/>
      <c r="E112" s="56">
        <f t="shared" si="1"/>
        <v>0</v>
      </c>
      <c r="F112" s="77"/>
      <c r="G112" s="76"/>
      <c r="H112" s="54"/>
    </row>
    <row r="113" spans="1:8">
      <c r="A113" s="74"/>
      <c r="B113" s="54"/>
      <c r="C113" s="56"/>
      <c r="D113" s="56"/>
      <c r="E113" s="56">
        <f t="shared" si="1"/>
        <v>0</v>
      </c>
      <c r="F113" s="77"/>
      <c r="G113" s="76"/>
      <c r="H113" s="54"/>
    </row>
    <row r="114" spans="1:8">
      <c r="A114" s="74"/>
      <c r="B114" s="54"/>
      <c r="C114" s="56"/>
      <c r="D114" s="56"/>
      <c r="E114" s="56">
        <f t="shared" si="1"/>
        <v>0</v>
      </c>
      <c r="F114" s="77"/>
      <c r="G114" s="76"/>
      <c r="H114" s="54"/>
    </row>
    <row r="115" spans="1:8">
      <c r="A115" s="74"/>
      <c r="B115" s="54"/>
      <c r="C115" s="56"/>
      <c r="D115" s="56"/>
      <c r="E115" s="56">
        <f t="shared" si="1"/>
        <v>0</v>
      </c>
      <c r="F115" s="77"/>
      <c r="G115" s="76"/>
      <c r="H115" s="54"/>
    </row>
    <row r="116" spans="1:8">
      <c r="A116" s="74"/>
      <c r="B116" s="54"/>
      <c r="C116" s="56"/>
      <c r="D116" s="56"/>
      <c r="E116" s="56">
        <f t="shared" si="1"/>
        <v>0</v>
      </c>
      <c r="F116" s="77"/>
      <c r="G116" s="76"/>
      <c r="H116" s="54"/>
    </row>
    <row r="117" spans="1:8">
      <c r="A117" s="74"/>
      <c r="B117" s="54"/>
      <c r="C117" s="56"/>
      <c r="D117" s="56"/>
      <c r="E117" s="56">
        <f t="shared" si="1"/>
        <v>0</v>
      </c>
      <c r="F117" s="77"/>
      <c r="G117" s="76"/>
      <c r="H117" s="54"/>
    </row>
    <row r="118" spans="1:8">
      <c r="A118" s="74"/>
      <c r="B118" s="54"/>
      <c r="C118" s="56"/>
      <c r="D118" s="56"/>
      <c r="E118" s="56">
        <f t="shared" si="1"/>
        <v>0</v>
      </c>
      <c r="F118" s="77"/>
      <c r="G118" s="76"/>
      <c r="H118" s="54"/>
    </row>
    <row r="119" spans="1:8">
      <c r="A119" s="74"/>
      <c r="B119" s="54"/>
      <c r="C119" s="56"/>
      <c r="D119" s="56"/>
      <c r="E119" s="56">
        <f t="shared" si="1"/>
        <v>0</v>
      </c>
      <c r="F119" s="77"/>
      <c r="G119" s="69"/>
      <c r="H119" s="54"/>
    </row>
    <row r="120" spans="1:8">
      <c r="A120" s="74"/>
      <c r="B120" s="54"/>
      <c r="C120" s="56"/>
      <c r="D120" s="56"/>
      <c r="E120" s="56">
        <f t="shared" si="1"/>
        <v>0</v>
      </c>
      <c r="F120" s="77"/>
      <c r="G120" s="69"/>
      <c r="H120" s="54"/>
    </row>
    <row r="121" spans="1:8">
      <c r="A121" s="74"/>
      <c r="B121" s="54"/>
      <c r="C121" s="56"/>
      <c r="D121" s="56"/>
      <c r="E121" s="56">
        <f t="shared" si="1"/>
        <v>0</v>
      </c>
      <c r="F121" s="77"/>
      <c r="G121" s="69"/>
      <c r="H121" s="54"/>
    </row>
    <row r="122" spans="1:8">
      <c r="A122" s="74"/>
      <c r="B122" s="54"/>
      <c r="C122" s="56"/>
      <c r="D122" s="56"/>
      <c r="E122" s="56">
        <f t="shared" si="1"/>
        <v>0</v>
      </c>
      <c r="F122" s="77"/>
      <c r="G122" s="76"/>
      <c r="H122" s="54"/>
    </row>
    <row r="123" spans="1:8">
      <c r="A123" s="83"/>
      <c r="B123" s="54"/>
      <c r="C123" s="56"/>
      <c r="D123" s="84"/>
      <c r="E123" s="56">
        <f t="shared" si="1"/>
        <v>0</v>
      </c>
      <c r="F123" s="77"/>
      <c r="G123" s="76"/>
      <c r="H123" s="54"/>
    </row>
    <row r="124" spans="1:8">
      <c r="A124" s="74"/>
      <c r="B124" s="54"/>
      <c r="C124" s="56"/>
      <c r="D124" s="56"/>
      <c r="E124" s="56">
        <f t="shared" si="1"/>
        <v>0</v>
      </c>
      <c r="F124" s="77"/>
      <c r="G124" s="69"/>
      <c r="H124" s="54"/>
    </row>
    <row r="125" spans="1:8">
      <c r="A125" s="74"/>
      <c r="B125" s="54"/>
      <c r="C125" s="56"/>
      <c r="D125" s="56"/>
      <c r="E125" s="56">
        <f t="shared" si="1"/>
        <v>0</v>
      </c>
      <c r="F125" s="77"/>
      <c r="G125" s="76"/>
      <c r="H125" s="54"/>
    </row>
    <row r="126" spans="1:8">
      <c r="A126" s="74"/>
      <c r="B126" s="54"/>
      <c r="C126" s="56"/>
      <c r="D126" s="56"/>
      <c r="E126" s="56">
        <f t="shared" si="1"/>
        <v>0</v>
      </c>
      <c r="F126" s="77"/>
      <c r="G126" s="76"/>
      <c r="H126" s="54"/>
    </row>
    <row r="127" spans="1:8">
      <c r="A127" s="74"/>
      <c r="B127" s="54"/>
      <c r="C127" s="56"/>
      <c r="D127" s="56"/>
      <c r="E127" s="56">
        <f t="shared" si="1"/>
        <v>0</v>
      </c>
      <c r="F127" s="77"/>
      <c r="G127" s="76"/>
      <c r="H127" s="54"/>
    </row>
    <row r="128" spans="1:8">
      <c r="A128" s="74"/>
      <c r="B128" s="54"/>
      <c r="C128" s="56"/>
      <c r="D128" s="56"/>
      <c r="E128" s="56">
        <f t="shared" si="1"/>
        <v>0</v>
      </c>
      <c r="F128" s="77"/>
      <c r="G128" s="76"/>
      <c r="H128" s="54"/>
    </row>
    <row r="129" spans="1:8">
      <c r="A129" s="83"/>
      <c r="B129" s="54"/>
      <c r="C129" s="56"/>
      <c r="D129" s="56"/>
      <c r="E129" s="56">
        <f t="shared" si="1"/>
        <v>0</v>
      </c>
      <c r="F129" s="77"/>
      <c r="G129" s="76"/>
      <c r="H129" s="54"/>
    </row>
    <row r="130" spans="1:8">
      <c r="A130" s="74"/>
      <c r="B130" s="54"/>
      <c r="C130" s="56"/>
      <c r="D130" s="56"/>
      <c r="E130" s="56">
        <f t="shared" si="1"/>
        <v>0</v>
      </c>
      <c r="F130" s="77"/>
      <c r="G130" s="76"/>
      <c r="H130" s="54"/>
    </row>
    <row r="131" spans="1:8" s="71" customFormat="1">
      <c r="A131" s="74"/>
      <c r="B131" s="54"/>
      <c r="C131" s="56"/>
      <c r="D131" s="56"/>
      <c r="E131" s="56">
        <f t="shared" si="1"/>
        <v>0</v>
      </c>
      <c r="F131" s="77"/>
      <c r="G131" s="76"/>
      <c r="H131" s="54"/>
    </row>
    <row r="132" spans="1:8">
      <c r="A132" s="74"/>
      <c r="B132" s="54"/>
      <c r="C132" s="56"/>
      <c r="D132" s="56"/>
      <c r="E132" s="56">
        <f t="shared" si="1"/>
        <v>0</v>
      </c>
      <c r="F132" s="77"/>
      <c r="G132" s="76"/>
      <c r="H132" s="54"/>
    </row>
    <row r="133" spans="1:8">
      <c r="A133" s="74"/>
      <c r="B133" s="54"/>
      <c r="C133" s="56"/>
      <c r="D133" s="56"/>
      <c r="E133" s="56">
        <f t="shared" si="1"/>
        <v>0</v>
      </c>
      <c r="F133" s="77"/>
      <c r="G133" s="76"/>
      <c r="H133" s="54"/>
    </row>
    <row r="134" spans="1:8">
      <c r="A134" s="74"/>
      <c r="B134" s="54"/>
      <c r="C134" s="56"/>
      <c r="D134" s="56"/>
      <c r="E134" s="56">
        <f t="shared" si="1"/>
        <v>0</v>
      </c>
      <c r="F134" s="77"/>
      <c r="G134" s="76"/>
      <c r="H134" s="54"/>
    </row>
    <row r="135" spans="1:8">
      <c r="A135" s="74"/>
      <c r="B135" s="54"/>
      <c r="C135" s="56"/>
      <c r="D135" s="56"/>
      <c r="E135" s="56">
        <f t="shared" si="1"/>
        <v>0</v>
      </c>
      <c r="F135" s="77"/>
      <c r="G135" s="76"/>
      <c r="H135" s="54"/>
    </row>
    <row r="136" spans="1:8">
      <c r="A136" s="74"/>
      <c r="B136" s="54"/>
      <c r="C136" s="56"/>
      <c r="D136" s="56"/>
      <c r="E136" s="56">
        <f t="shared" ref="E136:E163" si="2">E135-C136+D136</f>
        <v>0</v>
      </c>
      <c r="F136" s="77"/>
      <c r="G136" s="76"/>
      <c r="H136" s="54"/>
    </row>
    <row r="137" spans="1:8">
      <c r="A137" s="74"/>
      <c r="B137" s="54"/>
      <c r="C137" s="56"/>
      <c r="D137" s="56"/>
      <c r="E137" s="56">
        <f t="shared" si="2"/>
        <v>0</v>
      </c>
      <c r="F137" s="77"/>
      <c r="G137" s="76"/>
      <c r="H137" s="82"/>
    </row>
    <row r="138" spans="1:8">
      <c r="A138" s="74"/>
      <c r="B138" s="54"/>
      <c r="C138" s="56"/>
      <c r="D138" s="56"/>
      <c r="E138" s="56">
        <f t="shared" si="2"/>
        <v>0</v>
      </c>
      <c r="F138" s="77"/>
      <c r="G138" s="76"/>
      <c r="H138" s="54"/>
    </row>
    <row r="139" spans="1:8">
      <c r="A139" s="74"/>
      <c r="B139" s="54"/>
      <c r="C139" s="56"/>
      <c r="D139" s="56"/>
      <c r="E139" s="56">
        <f t="shared" si="2"/>
        <v>0</v>
      </c>
      <c r="F139" s="77"/>
      <c r="G139" s="76"/>
      <c r="H139" s="54"/>
    </row>
    <row r="140" spans="1:8">
      <c r="A140" s="74"/>
      <c r="B140" s="54"/>
      <c r="C140" s="56"/>
      <c r="D140" s="56"/>
      <c r="E140" s="56">
        <f t="shared" si="2"/>
        <v>0</v>
      </c>
      <c r="F140" s="77"/>
      <c r="G140" s="76"/>
      <c r="H140" s="54"/>
    </row>
    <row r="141" spans="1:8">
      <c r="A141" s="74"/>
      <c r="B141" s="54"/>
      <c r="C141" s="56"/>
      <c r="D141" s="56"/>
      <c r="E141" s="56">
        <f t="shared" si="2"/>
        <v>0</v>
      </c>
      <c r="F141" s="77"/>
      <c r="G141" s="76"/>
      <c r="H141" s="54"/>
    </row>
    <row r="142" spans="1:8">
      <c r="A142" s="74"/>
      <c r="B142" s="54"/>
      <c r="C142" s="56"/>
      <c r="D142" s="56"/>
      <c r="E142" s="56">
        <f t="shared" si="2"/>
        <v>0</v>
      </c>
      <c r="F142" s="77"/>
      <c r="G142" s="76"/>
      <c r="H142" s="54"/>
    </row>
    <row r="143" spans="1:8">
      <c r="A143" s="74"/>
      <c r="B143" s="54"/>
      <c r="C143" s="56"/>
      <c r="D143" s="56"/>
      <c r="E143" s="56">
        <f t="shared" si="2"/>
        <v>0</v>
      </c>
      <c r="F143" s="77"/>
      <c r="G143" s="76"/>
      <c r="H143" s="54"/>
    </row>
    <row r="144" spans="1:8">
      <c r="A144" s="74"/>
      <c r="B144" s="54"/>
      <c r="C144" s="56"/>
      <c r="D144" s="56"/>
      <c r="E144" s="56">
        <f t="shared" si="2"/>
        <v>0</v>
      </c>
      <c r="F144" s="77"/>
      <c r="G144" s="76"/>
      <c r="H144" s="54"/>
    </row>
    <row r="145" spans="1:8">
      <c r="A145" s="74"/>
      <c r="B145" s="54"/>
      <c r="C145" s="56"/>
      <c r="D145" s="56"/>
      <c r="E145" s="56">
        <f t="shared" si="2"/>
        <v>0</v>
      </c>
      <c r="F145" s="77"/>
      <c r="G145" s="76"/>
      <c r="H145" s="54"/>
    </row>
    <row r="146" spans="1:8">
      <c r="A146" s="74"/>
      <c r="B146" s="54"/>
      <c r="C146" s="56"/>
      <c r="D146" s="56"/>
      <c r="E146" s="56">
        <f t="shared" si="2"/>
        <v>0</v>
      </c>
      <c r="F146" s="77"/>
      <c r="G146" s="76"/>
      <c r="H146" s="54"/>
    </row>
    <row r="147" spans="1:8">
      <c r="A147" s="74"/>
      <c r="B147" s="54"/>
      <c r="C147" s="56"/>
      <c r="D147" s="56"/>
      <c r="E147" s="56">
        <f t="shared" si="2"/>
        <v>0</v>
      </c>
      <c r="F147" s="77"/>
      <c r="G147" s="76"/>
      <c r="H147" s="54"/>
    </row>
    <row r="148" spans="1:8">
      <c r="A148" s="74"/>
      <c r="B148" s="54"/>
      <c r="C148" s="56"/>
      <c r="D148" s="56"/>
      <c r="E148" s="56">
        <f t="shared" si="2"/>
        <v>0</v>
      </c>
      <c r="F148" s="77"/>
      <c r="G148" s="76"/>
      <c r="H148" s="54"/>
    </row>
    <row r="149" spans="1:8">
      <c r="A149" s="74"/>
      <c r="B149" s="54"/>
      <c r="C149" s="56"/>
      <c r="D149" s="56"/>
      <c r="E149" s="56">
        <f t="shared" si="2"/>
        <v>0</v>
      </c>
      <c r="F149" s="77"/>
      <c r="G149" s="76"/>
      <c r="H149" s="54"/>
    </row>
    <row r="150" spans="1:8" s="71" customFormat="1">
      <c r="A150" s="74"/>
      <c r="B150" s="54"/>
      <c r="C150" s="56"/>
      <c r="D150" s="56"/>
      <c r="E150" s="56">
        <f t="shared" si="2"/>
        <v>0</v>
      </c>
      <c r="F150" s="77"/>
      <c r="G150" s="76"/>
      <c r="H150" s="54"/>
    </row>
    <row r="151" spans="1:8">
      <c r="A151" s="74"/>
      <c r="B151" s="54"/>
      <c r="C151" s="56"/>
      <c r="D151" s="56"/>
      <c r="E151" s="56">
        <f t="shared" si="2"/>
        <v>0</v>
      </c>
      <c r="F151" s="78"/>
      <c r="G151" s="76"/>
      <c r="H151" s="54"/>
    </row>
    <row r="152" spans="1:8">
      <c r="A152" s="74"/>
      <c r="B152" s="54"/>
      <c r="C152" s="56"/>
      <c r="D152" s="56"/>
      <c r="E152" s="56">
        <f t="shared" si="2"/>
        <v>0</v>
      </c>
      <c r="F152" s="77"/>
      <c r="G152" s="54"/>
      <c r="H152" s="54"/>
    </row>
    <row r="153" spans="1:8">
      <c r="A153" s="74"/>
      <c r="B153" s="54"/>
      <c r="C153" s="56"/>
      <c r="D153" s="56"/>
      <c r="E153" s="56">
        <f t="shared" si="2"/>
        <v>0</v>
      </c>
      <c r="F153" s="77"/>
      <c r="G153" s="76"/>
      <c r="H153" s="54"/>
    </row>
    <row r="154" spans="1:8">
      <c r="A154" s="74"/>
      <c r="B154" s="54"/>
      <c r="C154" s="56"/>
      <c r="D154" s="56"/>
      <c r="E154" s="56">
        <f t="shared" si="2"/>
        <v>0</v>
      </c>
      <c r="F154" s="77"/>
      <c r="G154" s="76"/>
      <c r="H154" s="54"/>
    </row>
    <row r="155" spans="1:8">
      <c r="A155" s="74"/>
      <c r="B155" s="54"/>
      <c r="C155" s="56"/>
      <c r="D155" s="56"/>
      <c r="E155" s="56">
        <f t="shared" si="2"/>
        <v>0</v>
      </c>
      <c r="F155" s="77"/>
      <c r="G155" s="76"/>
      <c r="H155" s="54"/>
    </row>
    <row r="156" spans="1:8">
      <c r="A156" s="74"/>
      <c r="B156" s="54"/>
      <c r="C156" s="56"/>
      <c r="D156" s="56"/>
      <c r="E156" s="56">
        <f t="shared" si="2"/>
        <v>0</v>
      </c>
      <c r="F156" s="77"/>
      <c r="G156" s="76"/>
      <c r="H156" s="54"/>
    </row>
    <row r="157" spans="1:8">
      <c r="A157" s="74"/>
      <c r="B157" s="54"/>
      <c r="C157" s="56"/>
      <c r="D157" s="56"/>
      <c r="E157" s="56">
        <f t="shared" si="2"/>
        <v>0</v>
      </c>
      <c r="F157" s="77"/>
      <c r="G157" s="76"/>
      <c r="H157" s="54"/>
    </row>
    <row r="158" spans="1:8">
      <c r="A158" s="74"/>
      <c r="B158" s="54"/>
      <c r="C158" s="56"/>
      <c r="D158" s="56"/>
      <c r="E158" s="56">
        <f t="shared" si="2"/>
        <v>0</v>
      </c>
      <c r="F158" s="77"/>
      <c r="G158" s="76"/>
      <c r="H158" s="54"/>
    </row>
    <row r="159" spans="1:8">
      <c r="A159" s="74"/>
      <c r="B159" s="54"/>
      <c r="C159" s="56"/>
      <c r="D159" s="56"/>
      <c r="E159" s="56">
        <f t="shared" si="2"/>
        <v>0</v>
      </c>
      <c r="F159" s="77"/>
      <c r="G159" s="76"/>
      <c r="H159" s="54"/>
    </row>
    <row r="160" spans="1:8">
      <c r="A160" s="74"/>
      <c r="B160" s="54"/>
      <c r="C160" s="56"/>
      <c r="D160" s="56"/>
      <c r="E160" s="56">
        <f t="shared" si="2"/>
        <v>0</v>
      </c>
      <c r="F160" s="77"/>
      <c r="G160" s="76"/>
      <c r="H160" s="54"/>
    </row>
    <row r="161" spans="1:8">
      <c r="A161" s="74"/>
      <c r="B161" s="54"/>
      <c r="C161" s="56"/>
      <c r="D161" s="56"/>
      <c r="E161" s="56">
        <f t="shared" si="2"/>
        <v>0</v>
      </c>
      <c r="F161" s="77"/>
      <c r="G161" s="76"/>
      <c r="H161" s="54"/>
    </row>
    <row r="162" spans="1:8">
      <c r="A162" s="74"/>
      <c r="B162" s="54"/>
      <c r="C162" s="56"/>
      <c r="D162" s="56"/>
      <c r="E162" s="56">
        <f t="shared" si="2"/>
        <v>0</v>
      </c>
      <c r="F162" s="77"/>
      <c r="G162" s="76"/>
      <c r="H162" s="54"/>
    </row>
    <row r="163" spans="1:8">
      <c r="A163" s="74"/>
      <c r="B163" s="54"/>
      <c r="C163" s="56"/>
      <c r="D163" s="56"/>
      <c r="E163" s="56">
        <f t="shared" si="2"/>
        <v>0</v>
      </c>
      <c r="F163" s="77"/>
      <c r="G163" s="76"/>
      <c r="H163" s="54"/>
    </row>
    <row r="164" spans="1:8">
      <c r="C164" s="70">
        <f>SUM(C7:C163)</f>
        <v>0</v>
      </c>
      <c r="D164" s="70">
        <f>SUM(D7:D163)</f>
        <v>0</v>
      </c>
      <c r="F164" s="67"/>
    </row>
    <row r="168" spans="1:8">
      <c r="H168" t="s">
        <v>435</v>
      </c>
    </row>
  </sheetData>
  <autoFilter ref="A5:H5" xr:uid="{163EE640-5476-4526-A73E-2E8E04840C34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FE44-470F-4929-B9D9-0740726BE5AF}">
  <dimension ref="A1:H168"/>
  <sheetViews>
    <sheetView zoomScale="175" zoomScaleNormal="175" workbookViewId="0">
      <selection activeCell="A3" sqref="A3"/>
    </sheetView>
  </sheetViews>
  <sheetFormatPr baseColWidth="10" defaultColWidth="11.42578125" defaultRowHeight="15"/>
  <cols>
    <col min="2" max="2" width="22.28515625" customWidth="1"/>
    <col min="3" max="3" width="12.85546875" customWidth="1"/>
    <col min="4" max="4" width="12.7109375" customWidth="1"/>
    <col min="5" max="5" width="12.28515625" customWidth="1"/>
    <col min="6" max="6" width="10.140625" style="68" customWidth="1"/>
    <col min="7" max="7" width="65.42578125" customWidth="1"/>
    <col min="8" max="8" width="59.28515625" customWidth="1"/>
  </cols>
  <sheetData>
    <row r="1" spans="1:8">
      <c r="A1" s="15"/>
      <c r="B1" s="15"/>
      <c r="C1" s="32"/>
      <c r="D1" s="32"/>
      <c r="E1" s="28" t="s">
        <v>0</v>
      </c>
      <c r="F1" s="65"/>
      <c r="G1" s="29"/>
      <c r="H1" s="29"/>
    </row>
    <row r="2" spans="1:8">
      <c r="A2" s="30" t="s">
        <v>552</v>
      </c>
      <c r="B2" s="15"/>
      <c r="C2" s="32"/>
      <c r="D2" s="32"/>
      <c r="E2" s="28" t="s">
        <v>2</v>
      </c>
      <c r="F2" s="65"/>
      <c r="G2" s="29"/>
      <c r="H2" s="29"/>
    </row>
    <row r="3" spans="1:8">
      <c r="A3" s="30" t="s">
        <v>553</v>
      </c>
      <c r="B3" s="15"/>
      <c r="C3" s="32"/>
      <c r="D3" s="32"/>
      <c r="E3" s="28" t="s">
        <v>4</v>
      </c>
      <c r="F3" s="65"/>
      <c r="G3" s="29"/>
      <c r="H3" s="29"/>
    </row>
    <row r="4" spans="1:8">
      <c r="A4" s="29"/>
      <c r="B4" s="29"/>
      <c r="C4" s="31"/>
      <c r="D4" s="31"/>
      <c r="E4" s="29"/>
      <c r="F4" s="66"/>
      <c r="G4" s="29"/>
      <c r="H4" s="29"/>
    </row>
    <row r="5" spans="1:8">
      <c r="A5" s="7" t="s">
        <v>5</v>
      </c>
      <c r="B5" s="7" t="s">
        <v>6</v>
      </c>
      <c r="C5" s="33" t="s">
        <v>7</v>
      </c>
      <c r="D5" s="33" t="s">
        <v>8</v>
      </c>
      <c r="E5" s="9" t="s">
        <v>9</v>
      </c>
      <c r="F5" s="64" t="s">
        <v>432</v>
      </c>
      <c r="G5" s="63" t="s">
        <v>433</v>
      </c>
      <c r="H5" s="54" t="s">
        <v>434</v>
      </c>
    </row>
    <row r="6" spans="1:8">
      <c r="A6" s="10"/>
      <c r="B6" s="10" t="s">
        <v>11</v>
      </c>
      <c r="C6" s="48"/>
      <c r="D6" s="48">
        <v>0</v>
      </c>
      <c r="E6" s="45"/>
      <c r="F6" s="63"/>
      <c r="G6" s="63"/>
      <c r="H6" s="45"/>
    </row>
    <row r="7" spans="1:8" s="71" customFormat="1">
      <c r="A7" s="74"/>
      <c r="B7" s="54"/>
      <c r="C7" s="56"/>
      <c r="D7" s="56"/>
      <c r="E7" s="56">
        <f>D6-C7+D7</f>
        <v>0</v>
      </c>
      <c r="F7" s="75"/>
      <c r="G7" s="76"/>
      <c r="H7" s="54"/>
    </row>
    <row r="8" spans="1:8">
      <c r="A8" s="74"/>
      <c r="B8" s="54"/>
      <c r="C8" s="56"/>
      <c r="D8" s="56"/>
      <c r="E8" s="56">
        <f t="shared" ref="E8:E71" si="0">E7-C8+D8</f>
        <v>0</v>
      </c>
      <c r="F8" s="75"/>
      <c r="G8" s="76"/>
      <c r="H8" s="54"/>
    </row>
    <row r="9" spans="1:8">
      <c r="A9" s="74"/>
      <c r="B9" s="54"/>
      <c r="C9" s="56"/>
      <c r="D9" s="56"/>
      <c r="E9" s="56">
        <f t="shared" si="0"/>
        <v>0</v>
      </c>
      <c r="F9" s="77"/>
      <c r="G9" s="76"/>
      <c r="H9" s="54"/>
    </row>
    <row r="10" spans="1:8">
      <c r="A10" s="74"/>
      <c r="B10" s="54"/>
      <c r="C10" s="56"/>
      <c r="D10" s="56"/>
      <c r="E10" s="56">
        <f t="shared" si="0"/>
        <v>0</v>
      </c>
      <c r="F10" s="77"/>
      <c r="G10" s="76"/>
      <c r="H10" s="54"/>
    </row>
    <row r="11" spans="1:8">
      <c r="A11" s="74"/>
      <c r="B11" s="54"/>
      <c r="C11" s="56"/>
      <c r="D11" s="56"/>
      <c r="E11" s="56">
        <f t="shared" si="0"/>
        <v>0</v>
      </c>
      <c r="F11" s="77"/>
      <c r="G11" s="76"/>
      <c r="H11" s="54"/>
    </row>
    <row r="12" spans="1:8">
      <c r="A12" s="74"/>
      <c r="B12" s="54"/>
      <c r="C12" s="56"/>
      <c r="D12" s="56"/>
      <c r="E12" s="56">
        <f t="shared" si="0"/>
        <v>0</v>
      </c>
      <c r="F12" s="77"/>
      <c r="G12" s="76"/>
      <c r="H12" s="54"/>
    </row>
    <row r="13" spans="1:8">
      <c r="A13" s="74"/>
      <c r="B13" s="54"/>
      <c r="C13" s="56"/>
      <c r="D13" s="56"/>
      <c r="E13" s="56">
        <f t="shared" si="0"/>
        <v>0</v>
      </c>
      <c r="F13" s="77"/>
      <c r="G13" s="76"/>
      <c r="H13" s="54"/>
    </row>
    <row r="14" spans="1:8">
      <c r="A14" s="74"/>
      <c r="B14" s="54"/>
      <c r="C14" s="56"/>
      <c r="D14" s="56"/>
      <c r="E14" s="56">
        <f t="shared" si="0"/>
        <v>0</v>
      </c>
      <c r="F14" s="75"/>
      <c r="G14" s="76"/>
      <c r="H14" s="54"/>
    </row>
    <row r="15" spans="1:8">
      <c r="A15" s="74"/>
      <c r="B15" s="54"/>
      <c r="C15" s="56"/>
      <c r="D15" s="56"/>
      <c r="E15" s="56">
        <f t="shared" si="0"/>
        <v>0</v>
      </c>
      <c r="F15" s="77"/>
      <c r="G15" s="76"/>
      <c r="H15" s="54"/>
    </row>
    <row r="16" spans="1:8">
      <c r="A16" s="74"/>
      <c r="B16" s="54"/>
      <c r="C16" s="56"/>
      <c r="D16" s="56"/>
      <c r="E16" s="56">
        <f t="shared" si="0"/>
        <v>0</v>
      </c>
      <c r="F16" s="77"/>
      <c r="G16" s="76"/>
      <c r="H16" s="54"/>
    </row>
    <row r="17" spans="1:8">
      <c r="A17" s="74"/>
      <c r="B17" s="54"/>
      <c r="C17" s="56"/>
      <c r="D17" s="56"/>
      <c r="E17" s="56">
        <f t="shared" si="0"/>
        <v>0</v>
      </c>
      <c r="F17" s="77"/>
      <c r="G17" s="76"/>
      <c r="H17" s="54"/>
    </row>
    <row r="18" spans="1:8">
      <c r="A18" s="74"/>
      <c r="B18" s="54"/>
      <c r="C18" s="56"/>
      <c r="D18" s="56"/>
      <c r="E18" s="56">
        <f t="shared" si="0"/>
        <v>0</v>
      </c>
      <c r="F18" s="77"/>
      <c r="G18" s="76"/>
      <c r="H18" s="54"/>
    </row>
    <row r="19" spans="1:8">
      <c r="A19" s="74"/>
      <c r="B19" s="54"/>
      <c r="C19" s="56"/>
      <c r="D19" s="56"/>
      <c r="E19" s="56">
        <f t="shared" si="0"/>
        <v>0</v>
      </c>
      <c r="F19" s="77"/>
      <c r="G19" s="76"/>
      <c r="H19" s="54"/>
    </row>
    <row r="20" spans="1:8">
      <c r="A20" s="74"/>
      <c r="B20" s="54"/>
      <c r="C20" s="56"/>
      <c r="D20" s="56"/>
      <c r="E20" s="56">
        <f t="shared" si="0"/>
        <v>0</v>
      </c>
      <c r="F20" s="77"/>
      <c r="G20" s="76"/>
      <c r="H20" s="54"/>
    </row>
    <row r="21" spans="1:8">
      <c r="A21" s="74"/>
      <c r="B21" s="54"/>
      <c r="C21" s="56"/>
      <c r="D21" s="56"/>
      <c r="E21" s="56">
        <f t="shared" si="0"/>
        <v>0</v>
      </c>
      <c r="F21" s="77"/>
      <c r="G21" s="76"/>
      <c r="H21" s="54"/>
    </row>
    <row r="22" spans="1:8">
      <c r="A22" s="74"/>
      <c r="B22" s="54"/>
      <c r="C22" s="56"/>
      <c r="D22" s="56"/>
      <c r="E22" s="56">
        <f t="shared" si="0"/>
        <v>0</v>
      </c>
      <c r="F22" s="77"/>
      <c r="G22" s="76"/>
      <c r="H22" s="54"/>
    </row>
    <row r="23" spans="1:8">
      <c r="A23" s="74"/>
      <c r="B23" s="54"/>
      <c r="C23" s="56"/>
      <c r="D23" s="56"/>
      <c r="E23" s="56">
        <f t="shared" si="0"/>
        <v>0</v>
      </c>
      <c r="F23" s="77"/>
      <c r="G23" s="76"/>
      <c r="H23" s="54"/>
    </row>
    <row r="24" spans="1:8">
      <c r="A24" s="74"/>
      <c r="B24" s="54"/>
      <c r="C24" s="56"/>
      <c r="D24" s="56"/>
      <c r="E24" s="56">
        <f t="shared" si="0"/>
        <v>0</v>
      </c>
      <c r="F24" s="77"/>
      <c r="G24" s="76"/>
      <c r="H24" s="54"/>
    </row>
    <row r="25" spans="1:8">
      <c r="A25" s="74"/>
      <c r="B25" s="54"/>
      <c r="C25" s="56"/>
      <c r="D25" s="56"/>
      <c r="E25" s="56">
        <f t="shared" si="0"/>
        <v>0</v>
      </c>
      <c r="F25" s="77"/>
      <c r="G25" s="76"/>
      <c r="H25" s="54"/>
    </row>
    <row r="26" spans="1:8">
      <c r="A26" s="74"/>
      <c r="B26" s="54"/>
      <c r="C26" s="56"/>
      <c r="D26" s="56"/>
      <c r="E26" s="56">
        <f t="shared" si="0"/>
        <v>0</v>
      </c>
      <c r="F26" s="77"/>
      <c r="G26" s="76"/>
      <c r="H26" s="54"/>
    </row>
    <row r="27" spans="1:8">
      <c r="A27" s="74"/>
      <c r="B27" s="54"/>
      <c r="C27" s="56"/>
      <c r="D27" s="56"/>
      <c r="E27" s="56">
        <f t="shared" si="0"/>
        <v>0</v>
      </c>
      <c r="F27" s="77"/>
      <c r="G27" s="76"/>
      <c r="H27" s="54"/>
    </row>
    <row r="28" spans="1:8">
      <c r="A28" s="74"/>
      <c r="B28" s="54"/>
      <c r="C28" s="56"/>
      <c r="D28" s="56"/>
      <c r="E28" s="56">
        <f t="shared" si="0"/>
        <v>0</v>
      </c>
      <c r="F28" s="77"/>
      <c r="G28" s="76"/>
      <c r="H28" s="54"/>
    </row>
    <row r="29" spans="1:8">
      <c r="A29" s="74"/>
      <c r="B29" s="54"/>
      <c r="C29" s="56"/>
      <c r="D29" s="56"/>
      <c r="E29" s="56">
        <f t="shared" si="0"/>
        <v>0</v>
      </c>
      <c r="F29" s="78"/>
      <c r="G29" s="54"/>
      <c r="H29" s="54"/>
    </row>
    <row r="30" spans="1:8">
      <c r="A30" s="74"/>
      <c r="B30" s="54"/>
      <c r="C30" s="56"/>
      <c r="D30" s="56"/>
      <c r="E30" s="56">
        <f t="shared" si="0"/>
        <v>0</v>
      </c>
      <c r="F30" s="77"/>
      <c r="G30" s="76"/>
      <c r="H30" s="54"/>
    </row>
    <row r="31" spans="1:8">
      <c r="A31" s="74"/>
      <c r="B31" s="54"/>
      <c r="C31" s="56"/>
      <c r="D31" s="56"/>
      <c r="E31" s="56">
        <f t="shared" si="0"/>
        <v>0</v>
      </c>
      <c r="F31" s="78"/>
      <c r="G31" s="54"/>
      <c r="H31" s="54"/>
    </row>
    <row r="32" spans="1:8">
      <c r="A32" s="74"/>
      <c r="B32" s="54"/>
      <c r="C32" s="56"/>
      <c r="D32" s="56"/>
      <c r="E32" s="56">
        <f t="shared" si="0"/>
        <v>0</v>
      </c>
      <c r="F32" s="78"/>
      <c r="G32" s="79"/>
      <c r="H32" s="54"/>
    </row>
    <row r="33" spans="1:8">
      <c r="A33" s="74"/>
      <c r="B33" s="54"/>
      <c r="C33" s="56"/>
      <c r="D33" s="56"/>
      <c r="E33" s="56">
        <f t="shared" si="0"/>
        <v>0</v>
      </c>
      <c r="F33" s="78"/>
      <c r="G33" s="79"/>
      <c r="H33" s="54"/>
    </row>
    <row r="34" spans="1:8">
      <c r="A34" s="74"/>
      <c r="B34" s="54"/>
      <c r="C34" s="56"/>
      <c r="D34" s="56"/>
      <c r="E34" s="56">
        <f t="shared" si="0"/>
        <v>0</v>
      </c>
      <c r="F34" s="78"/>
      <c r="G34" s="54"/>
      <c r="H34" s="54"/>
    </row>
    <row r="35" spans="1:8">
      <c r="A35" s="74"/>
      <c r="B35" s="54"/>
      <c r="C35" s="56"/>
      <c r="D35" s="56"/>
      <c r="E35" s="56">
        <f t="shared" si="0"/>
        <v>0</v>
      </c>
      <c r="F35" s="77"/>
      <c r="G35" s="76"/>
      <c r="H35" s="54"/>
    </row>
    <row r="36" spans="1:8">
      <c r="A36" s="74"/>
      <c r="B36" s="54"/>
      <c r="C36" s="56"/>
      <c r="D36" s="56"/>
      <c r="E36" s="56">
        <f t="shared" si="0"/>
        <v>0</v>
      </c>
      <c r="F36" s="77"/>
      <c r="G36" s="76"/>
      <c r="H36" s="54"/>
    </row>
    <row r="37" spans="1:8">
      <c r="A37" s="74"/>
      <c r="B37" s="54"/>
      <c r="C37" s="56"/>
      <c r="D37" s="56"/>
      <c r="E37" s="56">
        <f t="shared" si="0"/>
        <v>0</v>
      </c>
      <c r="F37" s="77"/>
      <c r="G37" s="76"/>
      <c r="H37" s="54"/>
    </row>
    <row r="38" spans="1:8">
      <c r="A38" s="74"/>
      <c r="B38" s="54"/>
      <c r="C38" s="56"/>
      <c r="D38" s="56"/>
      <c r="E38" s="56">
        <f t="shared" si="0"/>
        <v>0</v>
      </c>
      <c r="F38" s="78"/>
      <c r="G38" s="54"/>
      <c r="H38" s="54"/>
    </row>
    <row r="39" spans="1:8">
      <c r="A39" s="74"/>
      <c r="B39" s="54"/>
      <c r="C39" s="56"/>
      <c r="D39" s="56"/>
      <c r="E39" s="56">
        <f t="shared" si="0"/>
        <v>0</v>
      </c>
      <c r="F39" s="78"/>
      <c r="G39" s="80"/>
      <c r="H39" s="54"/>
    </row>
    <row r="40" spans="1:8">
      <c r="A40" s="74"/>
      <c r="B40" s="54"/>
      <c r="C40" s="56"/>
      <c r="D40" s="56"/>
      <c r="E40" s="56">
        <f t="shared" si="0"/>
        <v>0</v>
      </c>
      <c r="F40" s="77"/>
      <c r="G40" s="76"/>
      <c r="H40" s="54"/>
    </row>
    <row r="41" spans="1:8">
      <c r="A41" s="74"/>
      <c r="B41" s="54"/>
      <c r="C41" s="56"/>
      <c r="D41" s="56"/>
      <c r="E41" s="56">
        <f t="shared" si="0"/>
        <v>0</v>
      </c>
      <c r="F41" s="77"/>
      <c r="G41" s="76"/>
      <c r="H41" s="54"/>
    </row>
    <row r="42" spans="1:8">
      <c r="A42" s="74"/>
      <c r="B42" s="54"/>
      <c r="C42" s="56"/>
      <c r="D42" s="56"/>
      <c r="E42" s="56">
        <f t="shared" si="0"/>
        <v>0</v>
      </c>
      <c r="F42" s="77"/>
      <c r="G42" s="76"/>
      <c r="H42" s="54"/>
    </row>
    <row r="43" spans="1:8">
      <c r="A43" s="74"/>
      <c r="B43" s="54"/>
      <c r="C43" s="56"/>
      <c r="D43" s="56"/>
      <c r="E43" s="56">
        <f t="shared" si="0"/>
        <v>0</v>
      </c>
      <c r="F43" s="77"/>
      <c r="G43" s="76"/>
      <c r="H43" s="54"/>
    </row>
    <row r="44" spans="1:8">
      <c r="A44" s="74"/>
      <c r="B44" s="54"/>
      <c r="C44" s="56"/>
      <c r="D44" s="56"/>
      <c r="E44" s="56">
        <f t="shared" si="0"/>
        <v>0</v>
      </c>
      <c r="F44" s="77"/>
      <c r="G44" s="76"/>
      <c r="H44" s="54"/>
    </row>
    <row r="45" spans="1:8">
      <c r="A45" s="74"/>
      <c r="B45" s="54"/>
      <c r="C45" s="56"/>
      <c r="D45" s="56"/>
      <c r="E45" s="56">
        <f t="shared" si="0"/>
        <v>0</v>
      </c>
      <c r="F45" s="77"/>
      <c r="G45" s="76"/>
      <c r="H45" s="54"/>
    </row>
    <row r="46" spans="1:8">
      <c r="A46" s="74"/>
      <c r="B46" s="54"/>
      <c r="C46" s="56"/>
      <c r="D46" s="56"/>
      <c r="E46" s="56">
        <f t="shared" si="0"/>
        <v>0</v>
      </c>
      <c r="F46" s="77"/>
      <c r="G46" s="76"/>
      <c r="H46" s="54"/>
    </row>
    <row r="47" spans="1:8">
      <c r="A47" s="74"/>
      <c r="B47" s="54"/>
      <c r="C47" s="56"/>
      <c r="D47" s="56"/>
      <c r="E47" s="56">
        <f t="shared" si="0"/>
        <v>0</v>
      </c>
      <c r="F47" s="77"/>
      <c r="G47" s="76"/>
      <c r="H47" s="54"/>
    </row>
    <row r="48" spans="1:8">
      <c r="A48" s="74"/>
      <c r="B48" s="54"/>
      <c r="C48" s="56"/>
      <c r="D48" s="56"/>
      <c r="E48" s="56">
        <f t="shared" si="0"/>
        <v>0</v>
      </c>
      <c r="F48" s="77"/>
      <c r="G48" s="76"/>
      <c r="H48" s="54"/>
    </row>
    <row r="49" spans="1:8">
      <c r="A49" s="74"/>
      <c r="B49" s="54"/>
      <c r="C49" s="56"/>
      <c r="D49" s="56"/>
      <c r="E49" s="56">
        <f t="shared" si="0"/>
        <v>0</v>
      </c>
      <c r="F49" s="78"/>
      <c r="G49" s="54"/>
      <c r="H49" s="54"/>
    </row>
    <row r="50" spans="1:8">
      <c r="A50" s="74"/>
      <c r="B50" s="54"/>
      <c r="C50" s="56"/>
      <c r="D50" s="56"/>
      <c r="E50" s="56">
        <f t="shared" si="0"/>
        <v>0</v>
      </c>
      <c r="F50" s="77"/>
      <c r="G50" s="76"/>
      <c r="H50" s="54"/>
    </row>
    <row r="51" spans="1:8">
      <c r="A51" s="74"/>
      <c r="B51" s="54"/>
      <c r="C51" s="56"/>
      <c r="D51" s="56"/>
      <c r="E51" s="56">
        <f t="shared" si="0"/>
        <v>0</v>
      </c>
      <c r="F51" s="77"/>
      <c r="G51" s="76"/>
      <c r="H51" s="54"/>
    </row>
    <row r="52" spans="1:8">
      <c r="A52" s="74"/>
      <c r="B52" s="54"/>
      <c r="C52" s="56"/>
      <c r="D52" s="56"/>
      <c r="E52" s="56">
        <f t="shared" si="0"/>
        <v>0</v>
      </c>
      <c r="F52" s="77"/>
      <c r="G52" s="76"/>
      <c r="H52" s="54"/>
    </row>
    <row r="53" spans="1:8">
      <c r="A53" s="74"/>
      <c r="B53" s="54"/>
      <c r="C53" s="56"/>
      <c r="D53" s="56"/>
      <c r="E53" s="56">
        <f t="shared" si="0"/>
        <v>0</v>
      </c>
      <c r="F53" s="77"/>
      <c r="G53" s="76"/>
      <c r="H53" s="54"/>
    </row>
    <row r="54" spans="1:8">
      <c r="A54" s="74"/>
      <c r="B54" s="54"/>
      <c r="C54" s="56"/>
      <c r="D54" s="56"/>
      <c r="E54" s="56">
        <f t="shared" si="0"/>
        <v>0</v>
      </c>
      <c r="F54" s="77"/>
      <c r="G54" s="76"/>
      <c r="H54" s="54"/>
    </row>
    <row r="55" spans="1:8">
      <c r="A55" s="74"/>
      <c r="B55" s="54"/>
      <c r="C55" s="56"/>
      <c r="D55" s="56"/>
      <c r="E55" s="56">
        <f t="shared" si="0"/>
        <v>0</v>
      </c>
      <c r="F55" s="77"/>
      <c r="G55" s="76"/>
      <c r="H55" s="54"/>
    </row>
    <row r="56" spans="1:8">
      <c r="A56" s="74"/>
      <c r="B56" s="54"/>
      <c r="C56" s="56"/>
      <c r="D56" s="56"/>
      <c r="E56" s="56">
        <f t="shared" si="0"/>
        <v>0</v>
      </c>
      <c r="F56" s="77"/>
      <c r="G56" s="76"/>
      <c r="H56" s="54"/>
    </row>
    <row r="57" spans="1:8">
      <c r="A57" s="74"/>
      <c r="B57" s="54"/>
      <c r="C57" s="56"/>
      <c r="D57" s="56"/>
      <c r="E57" s="56">
        <f t="shared" si="0"/>
        <v>0</v>
      </c>
      <c r="F57" s="77"/>
      <c r="G57" s="76"/>
      <c r="H57" s="54"/>
    </row>
    <row r="58" spans="1:8">
      <c r="A58" s="73"/>
      <c r="B58" s="54"/>
      <c r="C58" s="56"/>
      <c r="D58" s="56"/>
      <c r="E58" s="56">
        <f t="shared" si="0"/>
        <v>0</v>
      </c>
      <c r="F58" s="77"/>
      <c r="G58" s="76"/>
      <c r="H58" s="54"/>
    </row>
    <row r="59" spans="1:8">
      <c r="A59" s="73"/>
      <c r="B59" s="54"/>
      <c r="C59" s="56"/>
      <c r="D59" s="56"/>
      <c r="E59" s="56">
        <f t="shared" si="0"/>
        <v>0</v>
      </c>
      <c r="F59" s="77"/>
      <c r="G59" s="76"/>
      <c r="H59" s="54"/>
    </row>
    <row r="60" spans="1:8" s="71" customFormat="1">
      <c r="A60" s="73"/>
      <c r="B60" s="54"/>
      <c r="C60" s="56"/>
      <c r="D60" s="56"/>
      <c r="E60" s="56">
        <f t="shared" si="0"/>
        <v>0</v>
      </c>
      <c r="F60" s="77"/>
      <c r="G60" s="76"/>
      <c r="H60" s="54"/>
    </row>
    <row r="61" spans="1:8" s="71" customFormat="1">
      <c r="A61" s="73"/>
      <c r="B61" s="54"/>
      <c r="C61" s="56"/>
      <c r="D61" s="56"/>
      <c r="E61" s="56">
        <f t="shared" si="0"/>
        <v>0</v>
      </c>
      <c r="F61" s="77"/>
      <c r="G61" s="76"/>
      <c r="H61" s="54"/>
    </row>
    <row r="62" spans="1:8" s="71" customFormat="1">
      <c r="A62" s="73"/>
      <c r="B62" s="54"/>
      <c r="C62" s="56"/>
      <c r="D62" s="56"/>
      <c r="E62" s="56">
        <f t="shared" si="0"/>
        <v>0</v>
      </c>
      <c r="F62" s="77"/>
      <c r="G62" s="76"/>
      <c r="H62" s="54"/>
    </row>
    <row r="63" spans="1:8" s="71" customFormat="1">
      <c r="A63" s="73"/>
      <c r="B63" s="54"/>
      <c r="C63" s="56"/>
      <c r="D63" s="56"/>
      <c r="E63" s="56">
        <f t="shared" si="0"/>
        <v>0</v>
      </c>
      <c r="F63" s="77"/>
      <c r="G63" s="76"/>
      <c r="H63" s="54"/>
    </row>
    <row r="64" spans="1:8" s="71" customFormat="1">
      <c r="A64" s="73"/>
      <c r="B64" s="54"/>
      <c r="C64" s="56"/>
      <c r="D64" s="56"/>
      <c r="E64" s="56">
        <f t="shared" si="0"/>
        <v>0</v>
      </c>
      <c r="F64" s="77"/>
      <c r="G64" s="76"/>
      <c r="H64" s="54"/>
    </row>
    <row r="65" spans="1:8" s="71" customFormat="1">
      <c r="A65" s="73"/>
      <c r="B65" s="54"/>
      <c r="C65" s="56"/>
      <c r="D65" s="56"/>
      <c r="E65" s="56">
        <f t="shared" si="0"/>
        <v>0</v>
      </c>
      <c r="F65" s="77"/>
      <c r="G65" s="76"/>
      <c r="H65" s="54"/>
    </row>
    <row r="66" spans="1:8" s="71" customFormat="1">
      <c r="A66" s="73"/>
      <c r="B66" s="54"/>
      <c r="C66" s="56"/>
      <c r="D66" s="56"/>
      <c r="E66" s="56">
        <f t="shared" si="0"/>
        <v>0</v>
      </c>
      <c r="F66" s="77"/>
      <c r="G66" s="76"/>
      <c r="H66" s="54"/>
    </row>
    <row r="67" spans="1:8" s="71" customFormat="1">
      <c r="A67" s="73"/>
      <c r="B67" s="54"/>
      <c r="C67" s="56"/>
      <c r="D67" s="56"/>
      <c r="E67" s="56">
        <f t="shared" si="0"/>
        <v>0</v>
      </c>
      <c r="F67" s="77"/>
      <c r="G67" s="76"/>
      <c r="H67" s="54"/>
    </row>
    <row r="68" spans="1:8" s="71" customFormat="1">
      <c r="A68" s="73"/>
      <c r="B68" s="54"/>
      <c r="C68" s="56"/>
      <c r="D68" s="56"/>
      <c r="E68" s="56">
        <f t="shared" si="0"/>
        <v>0</v>
      </c>
      <c r="F68" s="77"/>
      <c r="G68" s="76"/>
      <c r="H68" s="54"/>
    </row>
    <row r="69" spans="1:8" s="71" customFormat="1">
      <c r="A69" s="73"/>
      <c r="B69" s="54"/>
      <c r="C69" s="56"/>
      <c r="D69" s="56"/>
      <c r="E69" s="56">
        <f t="shared" si="0"/>
        <v>0</v>
      </c>
      <c r="F69" s="77"/>
      <c r="G69" s="76"/>
      <c r="H69" s="54"/>
    </row>
    <row r="70" spans="1:8">
      <c r="A70" s="73"/>
      <c r="B70" s="54"/>
      <c r="C70" s="56"/>
      <c r="D70" s="56"/>
      <c r="E70" s="56">
        <f t="shared" si="0"/>
        <v>0</v>
      </c>
      <c r="F70" s="75"/>
      <c r="G70" s="76"/>
      <c r="H70" s="54"/>
    </row>
    <row r="71" spans="1:8">
      <c r="A71" s="74"/>
      <c r="B71" s="54"/>
      <c r="C71" s="56"/>
      <c r="D71" s="56"/>
      <c r="E71" s="56">
        <f t="shared" si="0"/>
        <v>0</v>
      </c>
      <c r="F71" s="77"/>
      <c r="G71" s="76"/>
      <c r="H71" s="54"/>
    </row>
    <row r="72" spans="1:8">
      <c r="A72" s="74"/>
      <c r="B72" s="54"/>
      <c r="C72" s="56"/>
      <c r="D72" s="56"/>
      <c r="E72" s="56">
        <f t="shared" ref="E72:E135" si="1">E71-C72+D72</f>
        <v>0</v>
      </c>
      <c r="F72" s="77"/>
      <c r="G72" s="76"/>
      <c r="H72" s="54"/>
    </row>
    <row r="73" spans="1:8" s="72" customFormat="1">
      <c r="A73" s="74"/>
      <c r="B73" s="54"/>
      <c r="C73" s="56"/>
      <c r="D73" s="56"/>
      <c r="E73" s="56">
        <f t="shared" si="1"/>
        <v>0</v>
      </c>
      <c r="F73" s="77"/>
      <c r="G73" s="76"/>
      <c r="H73" s="54"/>
    </row>
    <row r="74" spans="1:8">
      <c r="A74" s="74"/>
      <c r="B74" s="54"/>
      <c r="C74" s="56"/>
      <c r="D74" s="56"/>
      <c r="E74" s="56">
        <f t="shared" si="1"/>
        <v>0</v>
      </c>
      <c r="F74" s="77"/>
      <c r="G74" s="76"/>
      <c r="H74" s="54"/>
    </row>
    <row r="75" spans="1:8">
      <c r="A75" s="74"/>
      <c r="B75" s="54"/>
      <c r="C75" s="56"/>
      <c r="D75" s="56"/>
      <c r="E75" s="56">
        <f t="shared" si="1"/>
        <v>0</v>
      </c>
      <c r="F75" s="77"/>
      <c r="G75" s="76"/>
      <c r="H75" s="54"/>
    </row>
    <row r="76" spans="1:8">
      <c r="A76" s="74"/>
      <c r="B76" s="54"/>
      <c r="C76" s="56"/>
      <c r="D76" s="56"/>
      <c r="E76" s="56">
        <f t="shared" si="1"/>
        <v>0</v>
      </c>
      <c r="F76" s="77"/>
      <c r="G76" s="76"/>
      <c r="H76" s="54"/>
    </row>
    <row r="77" spans="1:8">
      <c r="A77" s="74"/>
      <c r="B77" s="54"/>
      <c r="C77" s="56"/>
      <c r="D77" s="56"/>
      <c r="E77" s="56">
        <f t="shared" si="1"/>
        <v>0</v>
      </c>
      <c r="F77" s="77"/>
      <c r="G77" s="76"/>
      <c r="H77" s="54"/>
    </row>
    <row r="78" spans="1:8">
      <c r="A78" s="74"/>
      <c r="B78" s="54"/>
      <c r="C78" s="56"/>
      <c r="D78" s="56"/>
      <c r="E78" s="56">
        <f t="shared" si="1"/>
        <v>0</v>
      </c>
      <c r="F78" s="77"/>
      <c r="G78" s="76"/>
      <c r="H78" s="54"/>
    </row>
    <row r="79" spans="1:8">
      <c r="A79" s="74"/>
      <c r="B79" s="54"/>
      <c r="C79" s="56"/>
      <c r="D79" s="56"/>
      <c r="E79" s="56">
        <f t="shared" si="1"/>
        <v>0</v>
      </c>
      <c r="F79" s="77"/>
      <c r="G79" s="76"/>
      <c r="H79" s="54"/>
    </row>
    <row r="80" spans="1:8">
      <c r="A80" s="74"/>
      <c r="B80" s="54"/>
      <c r="C80" s="56"/>
      <c r="D80" s="56"/>
      <c r="E80" s="56">
        <f t="shared" si="1"/>
        <v>0</v>
      </c>
      <c r="F80" s="77"/>
      <c r="G80" s="76"/>
      <c r="H80" s="54"/>
    </row>
    <row r="81" spans="1:8">
      <c r="A81" s="74"/>
      <c r="B81" s="54"/>
      <c r="C81" s="56"/>
      <c r="D81" s="56"/>
      <c r="E81" s="56">
        <f t="shared" si="1"/>
        <v>0</v>
      </c>
      <c r="F81" s="77"/>
      <c r="G81" s="76"/>
      <c r="H81" s="54"/>
    </row>
    <row r="82" spans="1:8">
      <c r="A82" s="74"/>
      <c r="B82" s="54"/>
      <c r="C82" s="56"/>
      <c r="D82" s="56"/>
      <c r="E82" s="56">
        <f t="shared" si="1"/>
        <v>0</v>
      </c>
      <c r="F82" s="77"/>
      <c r="G82" s="76"/>
      <c r="H82" s="54"/>
    </row>
    <row r="83" spans="1:8">
      <c r="A83" s="74"/>
      <c r="B83" s="54"/>
      <c r="C83" s="56"/>
      <c r="D83" s="56"/>
      <c r="E83" s="56">
        <f t="shared" si="1"/>
        <v>0</v>
      </c>
      <c r="F83" s="77"/>
      <c r="G83" s="76"/>
      <c r="H83" s="54"/>
    </row>
    <row r="84" spans="1:8">
      <c r="A84" s="74"/>
      <c r="B84" s="54"/>
      <c r="C84" s="56"/>
      <c r="D84" s="56"/>
      <c r="E84" s="56">
        <f t="shared" si="1"/>
        <v>0</v>
      </c>
      <c r="F84" s="77"/>
      <c r="G84" s="76"/>
      <c r="H84" s="54"/>
    </row>
    <row r="85" spans="1:8">
      <c r="A85" s="74"/>
      <c r="B85" s="54"/>
      <c r="C85" s="56"/>
      <c r="D85" s="56"/>
      <c r="E85" s="56">
        <f t="shared" si="1"/>
        <v>0</v>
      </c>
      <c r="F85" s="77"/>
      <c r="G85" s="76"/>
      <c r="H85" s="54"/>
    </row>
    <row r="86" spans="1:8">
      <c r="A86" s="74"/>
      <c r="B86" s="54"/>
      <c r="C86" s="56"/>
      <c r="D86" s="56"/>
      <c r="E86" s="56">
        <f t="shared" si="1"/>
        <v>0</v>
      </c>
      <c r="F86" s="77"/>
      <c r="G86" s="76"/>
      <c r="H86" s="54"/>
    </row>
    <row r="87" spans="1:8">
      <c r="A87" s="74"/>
      <c r="B87" s="54"/>
      <c r="C87" s="56"/>
      <c r="D87" s="56"/>
      <c r="E87" s="56">
        <f t="shared" si="1"/>
        <v>0</v>
      </c>
      <c r="F87" s="77"/>
      <c r="G87" s="76"/>
      <c r="H87" s="54"/>
    </row>
    <row r="88" spans="1:8">
      <c r="A88" s="74"/>
      <c r="B88" s="54"/>
      <c r="C88" s="56"/>
      <c r="D88" s="56"/>
      <c r="E88" s="56">
        <f t="shared" si="1"/>
        <v>0</v>
      </c>
      <c r="F88" s="77"/>
      <c r="G88" s="76"/>
      <c r="H88" s="54"/>
    </row>
    <row r="89" spans="1:8">
      <c r="A89" s="74"/>
      <c r="B89" s="54"/>
      <c r="C89" s="56"/>
      <c r="D89" s="56"/>
      <c r="E89" s="56">
        <f t="shared" si="1"/>
        <v>0</v>
      </c>
      <c r="F89" s="77"/>
      <c r="G89" s="76"/>
      <c r="H89" s="54"/>
    </row>
    <row r="90" spans="1:8">
      <c r="A90" s="74"/>
      <c r="B90" s="54"/>
      <c r="C90" s="56"/>
      <c r="D90" s="56"/>
      <c r="E90" s="56">
        <f t="shared" si="1"/>
        <v>0</v>
      </c>
      <c r="F90" s="77"/>
      <c r="G90" s="76"/>
      <c r="H90" s="54"/>
    </row>
    <row r="91" spans="1:8">
      <c r="A91" s="74"/>
      <c r="B91" s="54"/>
      <c r="C91" s="56"/>
      <c r="D91" s="56"/>
      <c r="E91" s="56">
        <f t="shared" si="1"/>
        <v>0</v>
      </c>
      <c r="F91" s="77"/>
      <c r="G91" s="76"/>
      <c r="H91" s="54"/>
    </row>
    <row r="92" spans="1:8">
      <c r="A92" s="74"/>
      <c r="B92" s="54"/>
      <c r="C92" s="56"/>
      <c r="D92" s="56"/>
      <c r="E92" s="56">
        <f t="shared" si="1"/>
        <v>0</v>
      </c>
      <c r="F92" s="77"/>
      <c r="G92" s="76"/>
      <c r="H92" s="54"/>
    </row>
    <row r="93" spans="1:8">
      <c r="A93" s="74"/>
      <c r="B93" s="54"/>
      <c r="C93" s="56"/>
      <c r="D93" s="56"/>
      <c r="E93" s="56">
        <f t="shared" si="1"/>
        <v>0</v>
      </c>
      <c r="F93" s="78"/>
      <c r="G93" s="76"/>
      <c r="H93" s="54"/>
    </row>
    <row r="94" spans="1:8">
      <c r="A94" s="74"/>
      <c r="B94" s="54"/>
      <c r="C94" s="56"/>
      <c r="D94" s="56"/>
      <c r="E94" s="56">
        <f t="shared" si="1"/>
        <v>0</v>
      </c>
      <c r="F94" s="77"/>
      <c r="G94" s="81"/>
      <c r="H94" s="54"/>
    </row>
    <row r="95" spans="1:8">
      <c r="A95" s="74"/>
      <c r="B95" s="54"/>
      <c r="C95" s="56"/>
      <c r="D95" s="56"/>
      <c r="E95" s="56">
        <f t="shared" si="1"/>
        <v>0</v>
      </c>
      <c r="F95" s="77"/>
      <c r="G95" s="76"/>
      <c r="H95" s="54"/>
    </row>
    <row r="96" spans="1:8">
      <c r="A96" s="74"/>
      <c r="B96" s="54"/>
      <c r="C96" s="56"/>
      <c r="D96" s="56"/>
      <c r="E96" s="56">
        <f t="shared" si="1"/>
        <v>0</v>
      </c>
      <c r="F96" s="77"/>
      <c r="G96" s="76"/>
      <c r="H96" s="54"/>
    </row>
    <row r="97" spans="1:8">
      <c r="A97" s="74"/>
      <c r="B97" s="54"/>
      <c r="C97" s="56"/>
      <c r="D97" s="56"/>
      <c r="E97" s="56">
        <f t="shared" si="1"/>
        <v>0</v>
      </c>
      <c r="F97" s="77"/>
      <c r="G97" s="69"/>
      <c r="H97" s="82"/>
    </row>
    <row r="98" spans="1:8">
      <c r="A98" s="74"/>
      <c r="B98" s="54"/>
      <c r="C98" s="56"/>
      <c r="D98" s="56"/>
      <c r="E98" s="56">
        <f t="shared" si="1"/>
        <v>0</v>
      </c>
      <c r="F98" s="77"/>
      <c r="G98" s="76"/>
      <c r="H98" s="82"/>
    </row>
    <row r="99" spans="1:8">
      <c r="A99" s="74"/>
      <c r="B99" s="54"/>
      <c r="C99" s="56"/>
      <c r="D99" s="56"/>
      <c r="E99" s="56">
        <f t="shared" si="1"/>
        <v>0</v>
      </c>
      <c r="F99" s="77"/>
      <c r="G99" s="76"/>
      <c r="H99" s="54"/>
    </row>
    <row r="100" spans="1:8" s="71" customFormat="1">
      <c r="A100" s="74"/>
      <c r="B100" s="54"/>
      <c r="C100" s="56"/>
      <c r="D100" s="56"/>
      <c r="E100" s="56">
        <f t="shared" si="1"/>
        <v>0</v>
      </c>
      <c r="F100" s="77"/>
      <c r="G100" s="69"/>
      <c r="H100" s="82"/>
    </row>
    <row r="101" spans="1:8">
      <c r="A101" s="74"/>
      <c r="B101" s="54"/>
      <c r="C101" s="56"/>
      <c r="D101" s="56"/>
      <c r="E101" s="56">
        <f t="shared" si="1"/>
        <v>0</v>
      </c>
      <c r="F101" s="77"/>
      <c r="G101" s="76"/>
      <c r="H101" s="54"/>
    </row>
    <row r="102" spans="1:8">
      <c r="A102" s="74"/>
      <c r="B102" s="54"/>
      <c r="C102" s="56"/>
      <c r="D102" s="56"/>
      <c r="E102" s="56">
        <f t="shared" si="1"/>
        <v>0</v>
      </c>
      <c r="F102" s="77"/>
      <c r="G102" s="76"/>
      <c r="H102" s="54"/>
    </row>
    <row r="103" spans="1:8" s="71" customFormat="1">
      <c r="A103" s="74"/>
      <c r="B103" s="54"/>
      <c r="C103" s="56"/>
      <c r="D103" s="56"/>
      <c r="E103" s="56">
        <f t="shared" si="1"/>
        <v>0</v>
      </c>
      <c r="F103" s="77"/>
      <c r="G103" s="69"/>
      <c r="H103" s="82"/>
    </row>
    <row r="104" spans="1:8">
      <c r="A104" s="74"/>
      <c r="B104" s="54"/>
      <c r="C104" s="56"/>
      <c r="D104" s="56"/>
      <c r="E104" s="56">
        <f t="shared" si="1"/>
        <v>0</v>
      </c>
      <c r="F104" s="77"/>
      <c r="G104" s="76"/>
      <c r="H104" s="54"/>
    </row>
    <row r="105" spans="1:8">
      <c r="A105" s="74"/>
      <c r="B105" s="54"/>
      <c r="C105" s="56"/>
      <c r="D105" s="56"/>
      <c r="E105" s="56">
        <f t="shared" si="1"/>
        <v>0</v>
      </c>
      <c r="F105" s="77"/>
      <c r="G105" s="76"/>
      <c r="H105" s="54"/>
    </row>
    <row r="106" spans="1:8">
      <c r="A106" s="74"/>
      <c r="B106" s="54"/>
      <c r="C106" s="56"/>
      <c r="D106" s="56"/>
      <c r="E106" s="56">
        <f t="shared" si="1"/>
        <v>0</v>
      </c>
      <c r="F106" s="77"/>
      <c r="G106" s="76"/>
      <c r="H106" s="54"/>
    </row>
    <row r="107" spans="1:8" s="71" customFormat="1">
      <c r="A107" s="74"/>
      <c r="B107" s="54"/>
      <c r="C107" s="56"/>
      <c r="D107" s="56"/>
      <c r="E107" s="56">
        <f t="shared" si="1"/>
        <v>0</v>
      </c>
      <c r="F107" s="77"/>
      <c r="G107" s="76"/>
      <c r="H107" s="54"/>
    </row>
    <row r="108" spans="1:8" s="71" customFormat="1">
      <c r="A108" s="74"/>
      <c r="B108" s="54"/>
      <c r="C108" s="56"/>
      <c r="D108" s="56"/>
      <c r="E108" s="56">
        <f t="shared" si="1"/>
        <v>0</v>
      </c>
      <c r="F108" s="77"/>
      <c r="G108" s="76"/>
      <c r="H108" s="54"/>
    </row>
    <row r="109" spans="1:8" s="71" customFormat="1">
      <c r="A109" s="74"/>
      <c r="B109" s="54"/>
      <c r="C109" s="56"/>
      <c r="D109" s="56"/>
      <c r="E109" s="56">
        <f t="shared" si="1"/>
        <v>0</v>
      </c>
      <c r="F109" s="77"/>
      <c r="G109" s="76"/>
      <c r="H109" s="54"/>
    </row>
    <row r="110" spans="1:8">
      <c r="A110" s="74"/>
      <c r="B110" s="54"/>
      <c r="C110" s="56"/>
      <c r="D110" s="56"/>
      <c r="E110" s="56">
        <f t="shared" si="1"/>
        <v>0</v>
      </c>
      <c r="F110" s="77"/>
      <c r="G110" s="76"/>
      <c r="H110" s="54"/>
    </row>
    <row r="111" spans="1:8" s="71" customFormat="1">
      <c r="A111" s="74"/>
      <c r="B111" s="54"/>
      <c r="C111" s="56"/>
      <c r="D111" s="56"/>
      <c r="E111" s="56">
        <f t="shared" si="1"/>
        <v>0</v>
      </c>
      <c r="F111" s="77"/>
      <c r="G111" s="76"/>
      <c r="H111" s="54"/>
    </row>
    <row r="112" spans="1:8">
      <c r="A112" s="74"/>
      <c r="B112" s="54"/>
      <c r="C112" s="56"/>
      <c r="D112" s="56"/>
      <c r="E112" s="56">
        <f t="shared" si="1"/>
        <v>0</v>
      </c>
      <c r="F112" s="77"/>
      <c r="G112" s="76"/>
      <c r="H112" s="54"/>
    </row>
    <row r="113" spans="1:8">
      <c r="A113" s="74"/>
      <c r="B113" s="54"/>
      <c r="C113" s="56"/>
      <c r="D113" s="56"/>
      <c r="E113" s="56">
        <f t="shared" si="1"/>
        <v>0</v>
      </c>
      <c r="F113" s="77"/>
      <c r="G113" s="76"/>
      <c r="H113" s="54"/>
    </row>
    <row r="114" spans="1:8">
      <c r="A114" s="74"/>
      <c r="B114" s="54"/>
      <c r="C114" s="56"/>
      <c r="D114" s="56"/>
      <c r="E114" s="56">
        <f t="shared" si="1"/>
        <v>0</v>
      </c>
      <c r="F114" s="77"/>
      <c r="G114" s="76"/>
      <c r="H114" s="54"/>
    </row>
    <row r="115" spans="1:8">
      <c r="A115" s="74"/>
      <c r="B115" s="54"/>
      <c r="C115" s="56"/>
      <c r="D115" s="56"/>
      <c r="E115" s="56">
        <f t="shared" si="1"/>
        <v>0</v>
      </c>
      <c r="F115" s="77"/>
      <c r="G115" s="76"/>
      <c r="H115" s="54"/>
    </row>
    <row r="116" spans="1:8">
      <c r="A116" s="74"/>
      <c r="B116" s="54"/>
      <c r="C116" s="56"/>
      <c r="D116" s="56"/>
      <c r="E116" s="56">
        <f t="shared" si="1"/>
        <v>0</v>
      </c>
      <c r="F116" s="77"/>
      <c r="G116" s="76"/>
      <c r="H116" s="54"/>
    </row>
    <row r="117" spans="1:8">
      <c r="A117" s="74"/>
      <c r="B117" s="54"/>
      <c r="C117" s="56"/>
      <c r="D117" s="56"/>
      <c r="E117" s="56">
        <f t="shared" si="1"/>
        <v>0</v>
      </c>
      <c r="F117" s="77"/>
      <c r="G117" s="76"/>
      <c r="H117" s="54"/>
    </row>
    <row r="118" spans="1:8">
      <c r="A118" s="74"/>
      <c r="B118" s="54"/>
      <c r="C118" s="56"/>
      <c r="D118" s="56"/>
      <c r="E118" s="56">
        <f t="shared" si="1"/>
        <v>0</v>
      </c>
      <c r="F118" s="77"/>
      <c r="G118" s="76"/>
      <c r="H118" s="54"/>
    </row>
    <row r="119" spans="1:8">
      <c r="A119" s="74"/>
      <c r="B119" s="54"/>
      <c r="C119" s="56"/>
      <c r="D119" s="56"/>
      <c r="E119" s="56">
        <f t="shared" si="1"/>
        <v>0</v>
      </c>
      <c r="F119" s="77"/>
      <c r="G119" s="69"/>
      <c r="H119" s="54"/>
    </row>
    <row r="120" spans="1:8">
      <c r="A120" s="74"/>
      <c r="B120" s="54"/>
      <c r="C120" s="56"/>
      <c r="D120" s="56"/>
      <c r="E120" s="56">
        <f t="shared" si="1"/>
        <v>0</v>
      </c>
      <c r="F120" s="77"/>
      <c r="G120" s="69"/>
      <c r="H120" s="54"/>
    </row>
    <row r="121" spans="1:8">
      <c r="A121" s="74"/>
      <c r="B121" s="54"/>
      <c r="C121" s="56"/>
      <c r="D121" s="56"/>
      <c r="E121" s="56">
        <f t="shared" si="1"/>
        <v>0</v>
      </c>
      <c r="F121" s="77"/>
      <c r="G121" s="69"/>
      <c r="H121" s="54"/>
    </row>
    <row r="122" spans="1:8">
      <c r="A122" s="74"/>
      <c r="B122" s="54"/>
      <c r="C122" s="56"/>
      <c r="D122" s="56"/>
      <c r="E122" s="56">
        <f t="shared" si="1"/>
        <v>0</v>
      </c>
      <c r="F122" s="77"/>
      <c r="G122" s="76"/>
      <c r="H122" s="54"/>
    </row>
    <row r="123" spans="1:8">
      <c r="A123" s="83"/>
      <c r="B123" s="54"/>
      <c r="C123" s="56"/>
      <c r="D123" s="84"/>
      <c r="E123" s="56">
        <f t="shared" si="1"/>
        <v>0</v>
      </c>
      <c r="F123" s="77"/>
      <c r="G123" s="76"/>
      <c r="H123" s="54"/>
    </row>
    <row r="124" spans="1:8">
      <c r="A124" s="74"/>
      <c r="B124" s="54"/>
      <c r="C124" s="56"/>
      <c r="D124" s="56"/>
      <c r="E124" s="56">
        <f t="shared" si="1"/>
        <v>0</v>
      </c>
      <c r="F124" s="77"/>
      <c r="G124" s="69"/>
      <c r="H124" s="54"/>
    </row>
    <row r="125" spans="1:8">
      <c r="A125" s="74"/>
      <c r="B125" s="54"/>
      <c r="C125" s="56"/>
      <c r="D125" s="56"/>
      <c r="E125" s="56">
        <f t="shared" si="1"/>
        <v>0</v>
      </c>
      <c r="F125" s="77"/>
      <c r="G125" s="76"/>
      <c r="H125" s="54"/>
    </row>
    <row r="126" spans="1:8">
      <c r="A126" s="74"/>
      <c r="B126" s="54"/>
      <c r="C126" s="56"/>
      <c r="D126" s="56"/>
      <c r="E126" s="56">
        <f t="shared" si="1"/>
        <v>0</v>
      </c>
      <c r="F126" s="77"/>
      <c r="G126" s="76"/>
      <c r="H126" s="54"/>
    </row>
    <row r="127" spans="1:8">
      <c r="A127" s="74"/>
      <c r="B127" s="54"/>
      <c r="C127" s="56"/>
      <c r="D127" s="56"/>
      <c r="E127" s="56">
        <f t="shared" si="1"/>
        <v>0</v>
      </c>
      <c r="F127" s="77"/>
      <c r="G127" s="76"/>
      <c r="H127" s="54"/>
    </row>
    <row r="128" spans="1:8">
      <c r="A128" s="74"/>
      <c r="B128" s="54"/>
      <c r="C128" s="56"/>
      <c r="D128" s="56"/>
      <c r="E128" s="56">
        <f t="shared" si="1"/>
        <v>0</v>
      </c>
      <c r="F128" s="77"/>
      <c r="G128" s="76"/>
      <c r="H128" s="54"/>
    </row>
    <row r="129" spans="1:8">
      <c r="A129" s="83"/>
      <c r="B129" s="54"/>
      <c r="C129" s="56"/>
      <c r="D129" s="56"/>
      <c r="E129" s="56">
        <f t="shared" si="1"/>
        <v>0</v>
      </c>
      <c r="F129" s="77"/>
      <c r="G129" s="76"/>
      <c r="H129" s="54"/>
    </row>
    <row r="130" spans="1:8">
      <c r="A130" s="74"/>
      <c r="B130" s="54"/>
      <c r="C130" s="56"/>
      <c r="D130" s="56"/>
      <c r="E130" s="56">
        <f t="shared" si="1"/>
        <v>0</v>
      </c>
      <c r="F130" s="77"/>
      <c r="G130" s="76"/>
      <c r="H130" s="54"/>
    </row>
    <row r="131" spans="1:8" s="71" customFormat="1">
      <c r="A131" s="74"/>
      <c r="B131" s="54"/>
      <c r="C131" s="56"/>
      <c r="D131" s="56"/>
      <c r="E131" s="56">
        <f t="shared" si="1"/>
        <v>0</v>
      </c>
      <c r="F131" s="77"/>
      <c r="G131" s="76"/>
      <c r="H131" s="54"/>
    </row>
    <row r="132" spans="1:8">
      <c r="A132" s="74"/>
      <c r="B132" s="54"/>
      <c r="C132" s="56"/>
      <c r="D132" s="56"/>
      <c r="E132" s="56">
        <f t="shared" si="1"/>
        <v>0</v>
      </c>
      <c r="F132" s="77"/>
      <c r="G132" s="76"/>
      <c r="H132" s="54"/>
    </row>
    <row r="133" spans="1:8">
      <c r="A133" s="74"/>
      <c r="B133" s="54"/>
      <c r="C133" s="56"/>
      <c r="D133" s="56"/>
      <c r="E133" s="56">
        <f t="shared" si="1"/>
        <v>0</v>
      </c>
      <c r="F133" s="77"/>
      <c r="G133" s="76"/>
      <c r="H133" s="54"/>
    </row>
    <row r="134" spans="1:8">
      <c r="A134" s="74"/>
      <c r="B134" s="54"/>
      <c r="C134" s="56"/>
      <c r="D134" s="56"/>
      <c r="E134" s="56">
        <f t="shared" si="1"/>
        <v>0</v>
      </c>
      <c r="F134" s="77"/>
      <c r="G134" s="76"/>
      <c r="H134" s="54"/>
    </row>
    <row r="135" spans="1:8">
      <c r="A135" s="74"/>
      <c r="B135" s="54"/>
      <c r="C135" s="56"/>
      <c r="D135" s="56"/>
      <c r="E135" s="56">
        <f t="shared" si="1"/>
        <v>0</v>
      </c>
      <c r="F135" s="77"/>
      <c r="G135" s="76"/>
      <c r="H135" s="54"/>
    </row>
    <row r="136" spans="1:8">
      <c r="A136" s="74"/>
      <c r="B136" s="54"/>
      <c r="C136" s="56"/>
      <c r="D136" s="56"/>
      <c r="E136" s="56">
        <f t="shared" ref="E136:E163" si="2">E135-C136+D136</f>
        <v>0</v>
      </c>
      <c r="F136" s="77"/>
      <c r="G136" s="76"/>
      <c r="H136" s="54"/>
    </row>
    <row r="137" spans="1:8">
      <c r="A137" s="74"/>
      <c r="B137" s="54"/>
      <c r="C137" s="56"/>
      <c r="D137" s="56"/>
      <c r="E137" s="56">
        <f t="shared" si="2"/>
        <v>0</v>
      </c>
      <c r="F137" s="77"/>
      <c r="G137" s="76"/>
      <c r="H137" s="82"/>
    </row>
    <row r="138" spans="1:8">
      <c r="A138" s="74"/>
      <c r="B138" s="54"/>
      <c r="C138" s="56"/>
      <c r="D138" s="56"/>
      <c r="E138" s="56">
        <f t="shared" si="2"/>
        <v>0</v>
      </c>
      <c r="F138" s="77"/>
      <c r="G138" s="76"/>
      <c r="H138" s="54"/>
    </row>
    <row r="139" spans="1:8">
      <c r="A139" s="74"/>
      <c r="B139" s="54"/>
      <c r="C139" s="56"/>
      <c r="D139" s="56"/>
      <c r="E139" s="56">
        <f t="shared" si="2"/>
        <v>0</v>
      </c>
      <c r="F139" s="77"/>
      <c r="G139" s="76"/>
      <c r="H139" s="54"/>
    </row>
    <row r="140" spans="1:8">
      <c r="A140" s="74"/>
      <c r="B140" s="54"/>
      <c r="C140" s="56"/>
      <c r="D140" s="56"/>
      <c r="E140" s="56">
        <f t="shared" si="2"/>
        <v>0</v>
      </c>
      <c r="F140" s="77"/>
      <c r="G140" s="76"/>
      <c r="H140" s="54"/>
    </row>
    <row r="141" spans="1:8">
      <c r="A141" s="74"/>
      <c r="B141" s="54"/>
      <c r="C141" s="56"/>
      <c r="D141" s="56"/>
      <c r="E141" s="56">
        <f t="shared" si="2"/>
        <v>0</v>
      </c>
      <c r="F141" s="77"/>
      <c r="G141" s="76"/>
      <c r="H141" s="54"/>
    </row>
    <row r="142" spans="1:8">
      <c r="A142" s="74"/>
      <c r="B142" s="54"/>
      <c r="C142" s="56"/>
      <c r="D142" s="56"/>
      <c r="E142" s="56">
        <f t="shared" si="2"/>
        <v>0</v>
      </c>
      <c r="F142" s="77"/>
      <c r="G142" s="76"/>
      <c r="H142" s="54"/>
    </row>
    <row r="143" spans="1:8">
      <c r="A143" s="74"/>
      <c r="B143" s="54"/>
      <c r="C143" s="56"/>
      <c r="D143" s="56"/>
      <c r="E143" s="56">
        <f t="shared" si="2"/>
        <v>0</v>
      </c>
      <c r="F143" s="77"/>
      <c r="G143" s="76"/>
      <c r="H143" s="54"/>
    </row>
    <row r="144" spans="1:8">
      <c r="A144" s="74"/>
      <c r="B144" s="54"/>
      <c r="C144" s="56"/>
      <c r="D144" s="56"/>
      <c r="E144" s="56">
        <f t="shared" si="2"/>
        <v>0</v>
      </c>
      <c r="F144" s="77"/>
      <c r="G144" s="76"/>
      <c r="H144" s="54"/>
    </row>
    <row r="145" spans="1:8">
      <c r="A145" s="74"/>
      <c r="B145" s="54"/>
      <c r="C145" s="56"/>
      <c r="D145" s="56"/>
      <c r="E145" s="56">
        <f t="shared" si="2"/>
        <v>0</v>
      </c>
      <c r="F145" s="77"/>
      <c r="G145" s="76"/>
      <c r="H145" s="54"/>
    </row>
    <row r="146" spans="1:8">
      <c r="A146" s="74"/>
      <c r="B146" s="54"/>
      <c r="C146" s="56"/>
      <c r="D146" s="56"/>
      <c r="E146" s="56">
        <f t="shared" si="2"/>
        <v>0</v>
      </c>
      <c r="F146" s="77"/>
      <c r="G146" s="76"/>
      <c r="H146" s="54"/>
    </row>
    <row r="147" spans="1:8">
      <c r="A147" s="74"/>
      <c r="B147" s="54"/>
      <c r="C147" s="56"/>
      <c r="D147" s="56"/>
      <c r="E147" s="56">
        <f t="shared" si="2"/>
        <v>0</v>
      </c>
      <c r="F147" s="77"/>
      <c r="G147" s="76"/>
      <c r="H147" s="54"/>
    </row>
    <row r="148" spans="1:8">
      <c r="A148" s="74"/>
      <c r="B148" s="54"/>
      <c r="C148" s="56"/>
      <c r="D148" s="56"/>
      <c r="E148" s="56">
        <f t="shared" si="2"/>
        <v>0</v>
      </c>
      <c r="F148" s="77"/>
      <c r="G148" s="76"/>
      <c r="H148" s="54"/>
    </row>
    <row r="149" spans="1:8">
      <c r="A149" s="74"/>
      <c r="B149" s="54"/>
      <c r="C149" s="56"/>
      <c r="D149" s="56"/>
      <c r="E149" s="56">
        <f t="shared" si="2"/>
        <v>0</v>
      </c>
      <c r="F149" s="77"/>
      <c r="G149" s="76"/>
      <c r="H149" s="54"/>
    </row>
    <row r="150" spans="1:8" s="71" customFormat="1">
      <c r="A150" s="74"/>
      <c r="B150" s="54"/>
      <c r="C150" s="56"/>
      <c r="D150" s="56"/>
      <c r="E150" s="56">
        <f t="shared" si="2"/>
        <v>0</v>
      </c>
      <c r="F150" s="77"/>
      <c r="G150" s="76"/>
      <c r="H150" s="54"/>
    </row>
    <row r="151" spans="1:8">
      <c r="A151" s="74"/>
      <c r="B151" s="54"/>
      <c r="C151" s="56"/>
      <c r="D151" s="56"/>
      <c r="E151" s="56">
        <f t="shared" si="2"/>
        <v>0</v>
      </c>
      <c r="F151" s="78"/>
      <c r="G151" s="76"/>
      <c r="H151" s="54"/>
    </row>
    <row r="152" spans="1:8">
      <c r="A152" s="74"/>
      <c r="B152" s="54"/>
      <c r="C152" s="56"/>
      <c r="D152" s="56"/>
      <c r="E152" s="56">
        <f t="shared" si="2"/>
        <v>0</v>
      </c>
      <c r="F152" s="77"/>
      <c r="G152" s="54"/>
      <c r="H152" s="54"/>
    </row>
    <row r="153" spans="1:8">
      <c r="A153" s="74"/>
      <c r="B153" s="54"/>
      <c r="C153" s="56"/>
      <c r="D153" s="56"/>
      <c r="E153" s="56">
        <f t="shared" si="2"/>
        <v>0</v>
      </c>
      <c r="F153" s="77"/>
      <c r="G153" s="76"/>
      <c r="H153" s="54"/>
    </row>
    <row r="154" spans="1:8">
      <c r="A154" s="74"/>
      <c r="B154" s="54"/>
      <c r="C154" s="56"/>
      <c r="D154" s="56"/>
      <c r="E154" s="56">
        <f t="shared" si="2"/>
        <v>0</v>
      </c>
      <c r="F154" s="77"/>
      <c r="G154" s="76"/>
      <c r="H154" s="54"/>
    </row>
    <row r="155" spans="1:8">
      <c r="A155" s="74"/>
      <c r="B155" s="54"/>
      <c r="C155" s="56"/>
      <c r="D155" s="56"/>
      <c r="E155" s="56">
        <f t="shared" si="2"/>
        <v>0</v>
      </c>
      <c r="F155" s="77"/>
      <c r="G155" s="76"/>
      <c r="H155" s="54"/>
    </row>
    <row r="156" spans="1:8">
      <c r="A156" s="74"/>
      <c r="B156" s="54"/>
      <c r="C156" s="56"/>
      <c r="D156" s="56"/>
      <c r="E156" s="56">
        <f t="shared" si="2"/>
        <v>0</v>
      </c>
      <c r="F156" s="77"/>
      <c r="G156" s="76"/>
      <c r="H156" s="54"/>
    </row>
    <row r="157" spans="1:8">
      <c r="A157" s="74"/>
      <c r="B157" s="54"/>
      <c r="C157" s="56"/>
      <c r="D157" s="56"/>
      <c r="E157" s="56">
        <f t="shared" si="2"/>
        <v>0</v>
      </c>
      <c r="F157" s="77"/>
      <c r="G157" s="76"/>
      <c r="H157" s="54"/>
    </row>
    <row r="158" spans="1:8">
      <c r="A158" s="74"/>
      <c r="B158" s="54"/>
      <c r="C158" s="56"/>
      <c r="D158" s="56"/>
      <c r="E158" s="56">
        <f t="shared" si="2"/>
        <v>0</v>
      </c>
      <c r="F158" s="77"/>
      <c r="G158" s="76"/>
      <c r="H158" s="54"/>
    </row>
    <row r="159" spans="1:8">
      <c r="A159" s="74"/>
      <c r="B159" s="54"/>
      <c r="C159" s="56"/>
      <c r="D159" s="56"/>
      <c r="E159" s="56">
        <f t="shared" si="2"/>
        <v>0</v>
      </c>
      <c r="F159" s="77"/>
      <c r="G159" s="76"/>
      <c r="H159" s="54"/>
    </row>
    <row r="160" spans="1:8">
      <c r="A160" s="74"/>
      <c r="B160" s="54"/>
      <c r="C160" s="56"/>
      <c r="D160" s="56"/>
      <c r="E160" s="56">
        <f t="shared" si="2"/>
        <v>0</v>
      </c>
      <c r="F160" s="77"/>
      <c r="G160" s="76"/>
      <c r="H160" s="54"/>
    </row>
    <row r="161" spans="1:8">
      <c r="A161" s="74"/>
      <c r="B161" s="54"/>
      <c r="C161" s="56"/>
      <c r="D161" s="56"/>
      <c r="E161" s="56">
        <f t="shared" si="2"/>
        <v>0</v>
      </c>
      <c r="F161" s="77"/>
      <c r="G161" s="76"/>
      <c r="H161" s="54"/>
    </row>
    <row r="162" spans="1:8">
      <c r="A162" s="74"/>
      <c r="B162" s="54"/>
      <c r="C162" s="56"/>
      <c r="D162" s="56"/>
      <c r="E162" s="56">
        <f t="shared" si="2"/>
        <v>0</v>
      </c>
      <c r="F162" s="77"/>
      <c r="G162" s="76"/>
      <c r="H162" s="54"/>
    </row>
    <row r="163" spans="1:8">
      <c r="A163" s="74"/>
      <c r="B163" s="54"/>
      <c r="C163" s="56"/>
      <c r="D163" s="56"/>
      <c r="E163" s="56">
        <f t="shared" si="2"/>
        <v>0</v>
      </c>
      <c r="F163" s="77"/>
      <c r="G163" s="76"/>
      <c r="H163" s="54"/>
    </row>
    <row r="164" spans="1:8">
      <c r="C164" s="70">
        <f>SUM(C7:C163)</f>
        <v>0</v>
      </c>
      <c r="D164" s="70">
        <f>SUM(D7:D163)</f>
        <v>0</v>
      </c>
      <c r="F164" s="67"/>
    </row>
    <row r="168" spans="1:8">
      <c r="H168" t="s">
        <v>435</v>
      </c>
    </row>
  </sheetData>
  <autoFilter ref="A5:H5" xr:uid="{163EE640-5476-4526-A73E-2E8E04840C34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F334-5F4C-4499-B167-5D0902781DF0}">
  <dimension ref="A1:H168"/>
  <sheetViews>
    <sheetView zoomScale="175" zoomScaleNormal="175" workbookViewId="0">
      <selection activeCell="A3" sqref="A3"/>
    </sheetView>
  </sheetViews>
  <sheetFormatPr baseColWidth="10" defaultColWidth="11.42578125" defaultRowHeight="15"/>
  <cols>
    <col min="2" max="2" width="22.28515625" customWidth="1"/>
    <col min="3" max="3" width="12.85546875" customWidth="1"/>
    <col min="4" max="4" width="12.7109375" customWidth="1"/>
    <col min="5" max="5" width="12.28515625" customWidth="1"/>
    <col min="6" max="6" width="10.140625" style="68" customWidth="1"/>
    <col min="7" max="7" width="65.42578125" customWidth="1"/>
    <col min="8" max="8" width="59.28515625" customWidth="1"/>
  </cols>
  <sheetData>
    <row r="1" spans="1:8">
      <c r="A1" s="15"/>
      <c r="B1" s="15"/>
      <c r="C1" s="32"/>
      <c r="D1" s="32"/>
      <c r="E1" s="28" t="s">
        <v>0</v>
      </c>
      <c r="F1" s="65"/>
      <c r="G1" s="29"/>
      <c r="H1" s="29"/>
    </row>
    <row r="2" spans="1:8">
      <c r="A2" s="30" t="s">
        <v>552</v>
      </c>
      <c r="B2" s="15"/>
      <c r="C2" s="32"/>
      <c r="D2" s="32"/>
      <c r="E2" s="28" t="s">
        <v>2</v>
      </c>
      <c r="F2" s="65"/>
      <c r="G2" s="29"/>
      <c r="H2" s="29"/>
    </row>
    <row r="3" spans="1:8">
      <c r="A3" s="30" t="s">
        <v>553</v>
      </c>
      <c r="B3" s="15"/>
      <c r="C3" s="32"/>
      <c r="D3" s="32"/>
      <c r="E3" s="28" t="s">
        <v>4</v>
      </c>
      <c r="F3" s="65"/>
      <c r="G3" s="29"/>
      <c r="H3" s="29"/>
    </row>
    <row r="4" spans="1:8">
      <c r="A4" s="29"/>
      <c r="B4" s="29"/>
      <c r="C4" s="31"/>
      <c r="D4" s="31"/>
      <c r="E4" s="29"/>
      <c r="F4" s="66"/>
      <c r="G4" s="29"/>
      <c r="H4" s="29"/>
    </row>
    <row r="5" spans="1:8">
      <c r="A5" s="7" t="s">
        <v>5</v>
      </c>
      <c r="B5" s="7" t="s">
        <v>6</v>
      </c>
      <c r="C5" s="33" t="s">
        <v>7</v>
      </c>
      <c r="D5" s="33" t="s">
        <v>8</v>
      </c>
      <c r="E5" s="9" t="s">
        <v>9</v>
      </c>
      <c r="F5" s="64" t="s">
        <v>432</v>
      </c>
      <c r="G5" s="63" t="s">
        <v>433</v>
      </c>
      <c r="H5" s="54" t="s">
        <v>434</v>
      </c>
    </row>
    <row r="6" spans="1:8">
      <c r="A6" s="10"/>
      <c r="B6" s="10" t="s">
        <v>11</v>
      </c>
      <c r="C6" s="48"/>
      <c r="D6" s="48">
        <v>0</v>
      </c>
      <c r="E6" s="45"/>
      <c r="F6" s="63"/>
      <c r="G6" s="63"/>
      <c r="H6" s="45"/>
    </row>
    <row r="7" spans="1:8" s="71" customFormat="1">
      <c r="A7" s="74"/>
      <c r="B7" s="54"/>
      <c r="C7" s="56"/>
      <c r="D7" s="56"/>
      <c r="E7" s="56">
        <f>D6-C7+D7</f>
        <v>0</v>
      </c>
      <c r="F7" s="75"/>
      <c r="G7" s="76"/>
      <c r="H7" s="54"/>
    </row>
    <row r="8" spans="1:8">
      <c r="A8" s="74"/>
      <c r="B8" s="54"/>
      <c r="C8" s="56"/>
      <c r="D8" s="56"/>
      <c r="E8" s="56">
        <f t="shared" ref="E8:E71" si="0">E7-C8+D8</f>
        <v>0</v>
      </c>
      <c r="F8" s="75"/>
      <c r="G8" s="76"/>
      <c r="H8" s="54"/>
    </row>
    <row r="9" spans="1:8">
      <c r="A9" s="74"/>
      <c r="B9" s="54"/>
      <c r="C9" s="56"/>
      <c r="D9" s="56"/>
      <c r="E9" s="56">
        <f t="shared" si="0"/>
        <v>0</v>
      </c>
      <c r="F9" s="77"/>
      <c r="G9" s="76"/>
      <c r="H9" s="54"/>
    </row>
    <row r="10" spans="1:8">
      <c r="A10" s="74"/>
      <c r="B10" s="54"/>
      <c r="C10" s="56"/>
      <c r="D10" s="56"/>
      <c r="E10" s="56">
        <f t="shared" si="0"/>
        <v>0</v>
      </c>
      <c r="F10" s="77"/>
      <c r="G10" s="76"/>
      <c r="H10" s="54"/>
    </row>
    <row r="11" spans="1:8">
      <c r="A11" s="74"/>
      <c r="B11" s="54"/>
      <c r="C11" s="56"/>
      <c r="D11" s="56"/>
      <c r="E11" s="56">
        <f t="shared" si="0"/>
        <v>0</v>
      </c>
      <c r="F11" s="77"/>
      <c r="G11" s="76"/>
      <c r="H11" s="54"/>
    </row>
    <row r="12" spans="1:8">
      <c r="A12" s="74"/>
      <c r="B12" s="54"/>
      <c r="C12" s="56"/>
      <c r="D12" s="56"/>
      <c r="E12" s="56">
        <f t="shared" si="0"/>
        <v>0</v>
      </c>
      <c r="F12" s="77"/>
      <c r="G12" s="76"/>
      <c r="H12" s="54"/>
    </row>
    <row r="13" spans="1:8">
      <c r="A13" s="74"/>
      <c r="B13" s="54"/>
      <c r="C13" s="56"/>
      <c r="D13" s="56"/>
      <c r="E13" s="56">
        <f t="shared" si="0"/>
        <v>0</v>
      </c>
      <c r="F13" s="77"/>
      <c r="G13" s="76"/>
      <c r="H13" s="54"/>
    </row>
    <row r="14" spans="1:8">
      <c r="A14" s="74"/>
      <c r="B14" s="54"/>
      <c r="C14" s="56"/>
      <c r="D14" s="56"/>
      <c r="E14" s="56">
        <f t="shared" si="0"/>
        <v>0</v>
      </c>
      <c r="F14" s="75"/>
      <c r="G14" s="76"/>
      <c r="H14" s="54"/>
    </row>
    <row r="15" spans="1:8">
      <c r="A15" s="74"/>
      <c r="B15" s="54"/>
      <c r="C15" s="56"/>
      <c r="D15" s="56"/>
      <c r="E15" s="56">
        <f t="shared" si="0"/>
        <v>0</v>
      </c>
      <c r="F15" s="77"/>
      <c r="G15" s="76"/>
      <c r="H15" s="54"/>
    </row>
    <row r="16" spans="1:8">
      <c r="A16" s="74"/>
      <c r="B16" s="54"/>
      <c r="C16" s="56"/>
      <c r="D16" s="56"/>
      <c r="E16" s="56">
        <f t="shared" si="0"/>
        <v>0</v>
      </c>
      <c r="F16" s="77"/>
      <c r="G16" s="76"/>
      <c r="H16" s="54"/>
    </row>
    <row r="17" spans="1:8">
      <c r="A17" s="74"/>
      <c r="B17" s="54"/>
      <c r="C17" s="56"/>
      <c r="D17" s="56"/>
      <c r="E17" s="56">
        <f t="shared" si="0"/>
        <v>0</v>
      </c>
      <c r="F17" s="77"/>
      <c r="G17" s="76"/>
      <c r="H17" s="54"/>
    </row>
    <row r="18" spans="1:8">
      <c r="A18" s="74"/>
      <c r="B18" s="54"/>
      <c r="C18" s="56"/>
      <c r="D18" s="56"/>
      <c r="E18" s="56">
        <f t="shared" si="0"/>
        <v>0</v>
      </c>
      <c r="F18" s="77"/>
      <c r="G18" s="76"/>
      <c r="H18" s="54"/>
    </row>
    <row r="19" spans="1:8">
      <c r="A19" s="74"/>
      <c r="B19" s="54"/>
      <c r="C19" s="56"/>
      <c r="D19" s="56"/>
      <c r="E19" s="56">
        <f t="shared" si="0"/>
        <v>0</v>
      </c>
      <c r="F19" s="77"/>
      <c r="G19" s="76"/>
      <c r="H19" s="54"/>
    </row>
    <row r="20" spans="1:8">
      <c r="A20" s="74"/>
      <c r="B20" s="54"/>
      <c r="C20" s="56"/>
      <c r="D20" s="56"/>
      <c r="E20" s="56">
        <f t="shared" si="0"/>
        <v>0</v>
      </c>
      <c r="F20" s="77"/>
      <c r="G20" s="76"/>
      <c r="H20" s="54"/>
    </row>
    <row r="21" spans="1:8">
      <c r="A21" s="74"/>
      <c r="B21" s="54"/>
      <c r="C21" s="56"/>
      <c r="D21" s="56"/>
      <c r="E21" s="56">
        <f t="shared" si="0"/>
        <v>0</v>
      </c>
      <c r="F21" s="77"/>
      <c r="G21" s="76"/>
      <c r="H21" s="54"/>
    </row>
    <row r="22" spans="1:8">
      <c r="A22" s="74"/>
      <c r="B22" s="54"/>
      <c r="C22" s="56"/>
      <c r="D22" s="56"/>
      <c r="E22" s="56">
        <f t="shared" si="0"/>
        <v>0</v>
      </c>
      <c r="F22" s="77"/>
      <c r="G22" s="76"/>
      <c r="H22" s="54"/>
    </row>
    <row r="23" spans="1:8">
      <c r="A23" s="74"/>
      <c r="B23" s="54"/>
      <c r="C23" s="56"/>
      <c r="D23" s="56"/>
      <c r="E23" s="56">
        <f t="shared" si="0"/>
        <v>0</v>
      </c>
      <c r="F23" s="77"/>
      <c r="G23" s="76"/>
      <c r="H23" s="54"/>
    </row>
    <row r="24" spans="1:8">
      <c r="A24" s="74"/>
      <c r="B24" s="54"/>
      <c r="C24" s="56"/>
      <c r="D24" s="56"/>
      <c r="E24" s="56">
        <f t="shared" si="0"/>
        <v>0</v>
      </c>
      <c r="F24" s="77"/>
      <c r="G24" s="76"/>
      <c r="H24" s="54"/>
    </row>
    <row r="25" spans="1:8">
      <c r="A25" s="74"/>
      <c r="B25" s="54"/>
      <c r="C25" s="56"/>
      <c r="D25" s="56"/>
      <c r="E25" s="56">
        <f t="shared" si="0"/>
        <v>0</v>
      </c>
      <c r="F25" s="77"/>
      <c r="G25" s="76"/>
      <c r="H25" s="54"/>
    </row>
    <row r="26" spans="1:8">
      <c r="A26" s="74"/>
      <c r="B26" s="54"/>
      <c r="C26" s="56"/>
      <c r="D26" s="56"/>
      <c r="E26" s="56">
        <f t="shared" si="0"/>
        <v>0</v>
      </c>
      <c r="F26" s="77"/>
      <c r="G26" s="76"/>
      <c r="H26" s="54"/>
    </row>
    <row r="27" spans="1:8">
      <c r="A27" s="74"/>
      <c r="B27" s="54"/>
      <c r="C27" s="56"/>
      <c r="D27" s="56"/>
      <c r="E27" s="56">
        <f t="shared" si="0"/>
        <v>0</v>
      </c>
      <c r="F27" s="77"/>
      <c r="G27" s="76"/>
      <c r="H27" s="54"/>
    </row>
    <row r="28" spans="1:8">
      <c r="A28" s="74"/>
      <c r="B28" s="54"/>
      <c r="C28" s="56"/>
      <c r="D28" s="56"/>
      <c r="E28" s="56">
        <f t="shared" si="0"/>
        <v>0</v>
      </c>
      <c r="F28" s="77"/>
      <c r="G28" s="76"/>
      <c r="H28" s="54"/>
    </row>
    <row r="29" spans="1:8">
      <c r="A29" s="74"/>
      <c r="B29" s="54"/>
      <c r="C29" s="56"/>
      <c r="D29" s="56"/>
      <c r="E29" s="56">
        <f t="shared" si="0"/>
        <v>0</v>
      </c>
      <c r="F29" s="78"/>
      <c r="G29" s="54"/>
      <c r="H29" s="54"/>
    </row>
    <row r="30" spans="1:8">
      <c r="A30" s="74"/>
      <c r="B30" s="54"/>
      <c r="C30" s="56"/>
      <c r="D30" s="56"/>
      <c r="E30" s="56">
        <f t="shared" si="0"/>
        <v>0</v>
      </c>
      <c r="F30" s="77"/>
      <c r="G30" s="76"/>
      <c r="H30" s="54"/>
    </row>
    <row r="31" spans="1:8">
      <c r="A31" s="74"/>
      <c r="B31" s="54"/>
      <c r="C31" s="56"/>
      <c r="D31" s="56"/>
      <c r="E31" s="56">
        <f t="shared" si="0"/>
        <v>0</v>
      </c>
      <c r="F31" s="78"/>
      <c r="G31" s="54"/>
      <c r="H31" s="54"/>
    </row>
    <row r="32" spans="1:8">
      <c r="A32" s="74"/>
      <c r="B32" s="54"/>
      <c r="C32" s="56"/>
      <c r="D32" s="56"/>
      <c r="E32" s="56">
        <f t="shared" si="0"/>
        <v>0</v>
      </c>
      <c r="F32" s="78"/>
      <c r="G32" s="79"/>
      <c r="H32" s="54"/>
    </row>
    <row r="33" spans="1:8">
      <c r="A33" s="74"/>
      <c r="B33" s="54"/>
      <c r="C33" s="56"/>
      <c r="D33" s="56"/>
      <c r="E33" s="56">
        <f t="shared" si="0"/>
        <v>0</v>
      </c>
      <c r="F33" s="78"/>
      <c r="G33" s="79"/>
      <c r="H33" s="54"/>
    </row>
    <row r="34" spans="1:8">
      <c r="A34" s="74"/>
      <c r="B34" s="54"/>
      <c r="C34" s="56"/>
      <c r="D34" s="56"/>
      <c r="E34" s="56">
        <f t="shared" si="0"/>
        <v>0</v>
      </c>
      <c r="F34" s="78"/>
      <c r="G34" s="54"/>
      <c r="H34" s="54"/>
    </row>
    <row r="35" spans="1:8">
      <c r="A35" s="74"/>
      <c r="B35" s="54"/>
      <c r="C35" s="56"/>
      <c r="D35" s="56"/>
      <c r="E35" s="56">
        <f t="shared" si="0"/>
        <v>0</v>
      </c>
      <c r="F35" s="77"/>
      <c r="G35" s="76"/>
      <c r="H35" s="54"/>
    </row>
    <row r="36" spans="1:8">
      <c r="A36" s="74"/>
      <c r="B36" s="54"/>
      <c r="C36" s="56"/>
      <c r="D36" s="56"/>
      <c r="E36" s="56">
        <f t="shared" si="0"/>
        <v>0</v>
      </c>
      <c r="F36" s="77"/>
      <c r="G36" s="76"/>
      <c r="H36" s="54"/>
    </row>
    <row r="37" spans="1:8">
      <c r="A37" s="74"/>
      <c r="B37" s="54"/>
      <c r="C37" s="56"/>
      <c r="D37" s="56"/>
      <c r="E37" s="56">
        <f t="shared" si="0"/>
        <v>0</v>
      </c>
      <c r="F37" s="77"/>
      <c r="G37" s="76"/>
      <c r="H37" s="54"/>
    </row>
    <row r="38" spans="1:8">
      <c r="A38" s="74"/>
      <c r="B38" s="54"/>
      <c r="C38" s="56"/>
      <c r="D38" s="56"/>
      <c r="E38" s="56">
        <f t="shared" si="0"/>
        <v>0</v>
      </c>
      <c r="F38" s="78"/>
      <c r="G38" s="54"/>
      <c r="H38" s="54"/>
    </row>
    <row r="39" spans="1:8">
      <c r="A39" s="74"/>
      <c r="B39" s="54"/>
      <c r="C39" s="56"/>
      <c r="D39" s="56"/>
      <c r="E39" s="56">
        <f t="shared" si="0"/>
        <v>0</v>
      </c>
      <c r="F39" s="78"/>
      <c r="G39" s="80"/>
      <c r="H39" s="54"/>
    </row>
    <row r="40" spans="1:8">
      <c r="A40" s="74"/>
      <c r="B40" s="54"/>
      <c r="C40" s="56"/>
      <c r="D40" s="56"/>
      <c r="E40" s="56">
        <f t="shared" si="0"/>
        <v>0</v>
      </c>
      <c r="F40" s="77"/>
      <c r="G40" s="76"/>
      <c r="H40" s="54"/>
    </row>
    <row r="41" spans="1:8">
      <c r="A41" s="74"/>
      <c r="B41" s="54"/>
      <c r="C41" s="56"/>
      <c r="D41" s="56"/>
      <c r="E41" s="56">
        <f t="shared" si="0"/>
        <v>0</v>
      </c>
      <c r="F41" s="77"/>
      <c r="G41" s="76"/>
      <c r="H41" s="54"/>
    </row>
    <row r="42" spans="1:8">
      <c r="A42" s="74"/>
      <c r="B42" s="54"/>
      <c r="C42" s="56"/>
      <c r="D42" s="56"/>
      <c r="E42" s="56">
        <f t="shared" si="0"/>
        <v>0</v>
      </c>
      <c r="F42" s="77"/>
      <c r="G42" s="76"/>
      <c r="H42" s="54"/>
    </row>
    <row r="43" spans="1:8">
      <c r="A43" s="74"/>
      <c r="B43" s="54"/>
      <c r="C43" s="56"/>
      <c r="D43" s="56"/>
      <c r="E43" s="56">
        <f t="shared" si="0"/>
        <v>0</v>
      </c>
      <c r="F43" s="77"/>
      <c r="G43" s="76"/>
      <c r="H43" s="54"/>
    </row>
    <row r="44" spans="1:8">
      <c r="A44" s="74"/>
      <c r="B44" s="54"/>
      <c r="C44" s="56"/>
      <c r="D44" s="56"/>
      <c r="E44" s="56">
        <f t="shared" si="0"/>
        <v>0</v>
      </c>
      <c r="F44" s="77"/>
      <c r="G44" s="76"/>
      <c r="H44" s="54"/>
    </row>
    <row r="45" spans="1:8">
      <c r="A45" s="74"/>
      <c r="B45" s="54"/>
      <c r="C45" s="56"/>
      <c r="D45" s="56"/>
      <c r="E45" s="56">
        <f t="shared" si="0"/>
        <v>0</v>
      </c>
      <c r="F45" s="77"/>
      <c r="G45" s="76"/>
      <c r="H45" s="54"/>
    </row>
    <row r="46" spans="1:8">
      <c r="A46" s="74"/>
      <c r="B46" s="54"/>
      <c r="C46" s="56"/>
      <c r="D46" s="56"/>
      <c r="E46" s="56">
        <f t="shared" si="0"/>
        <v>0</v>
      </c>
      <c r="F46" s="77"/>
      <c r="G46" s="76"/>
      <c r="H46" s="54"/>
    </row>
    <row r="47" spans="1:8">
      <c r="A47" s="74"/>
      <c r="B47" s="54"/>
      <c r="C47" s="56"/>
      <c r="D47" s="56"/>
      <c r="E47" s="56">
        <f t="shared" si="0"/>
        <v>0</v>
      </c>
      <c r="F47" s="77"/>
      <c r="G47" s="76"/>
      <c r="H47" s="54"/>
    </row>
    <row r="48" spans="1:8">
      <c r="A48" s="74"/>
      <c r="B48" s="54"/>
      <c r="C48" s="56"/>
      <c r="D48" s="56"/>
      <c r="E48" s="56">
        <f t="shared" si="0"/>
        <v>0</v>
      </c>
      <c r="F48" s="77"/>
      <c r="G48" s="76"/>
      <c r="H48" s="54"/>
    </row>
    <row r="49" spans="1:8">
      <c r="A49" s="74"/>
      <c r="B49" s="54"/>
      <c r="C49" s="56"/>
      <c r="D49" s="56"/>
      <c r="E49" s="56">
        <f t="shared" si="0"/>
        <v>0</v>
      </c>
      <c r="F49" s="78"/>
      <c r="G49" s="54"/>
      <c r="H49" s="54"/>
    </row>
    <row r="50" spans="1:8">
      <c r="A50" s="74"/>
      <c r="B50" s="54"/>
      <c r="C50" s="56"/>
      <c r="D50" s="56"/>
      <c r="E50" s="56">
        <f t="shared" si="0"/>
        <v>0</v>
      </c>
      <c r="F50" s="77"/>
      <c r="G50" s="76"/>
      <c r="H50" s="54"/>
    </row>
    <row r="51" spans="1:8">
      <c r="A51" s="74"/>
      <c r="B51" s="54"/>
      <c r="C51" s="56"/>
      <c r="D51" s="56"/>
      <c r="E51" s="56">
        <f t="shared" si="0"/>
        <v>0</v>
      </c>
      <c r="F51" s="77"/>
      <c r="G51" s="76"/>
      <c r="H51" s="54"/>
    </row>
    <row r="52" spans="1:8">
      <c r="A52" s="74"/>
      <c r="B52" s="54"/>
      <c r="C52" s="56"/>
      <c r="D52" s="56"/>
      <c r="E52" s="56">
        <f t="shared" si="0"/>
        <v>0</v>
      </c>
      <c r="F52" s="77"/>
      <c r="G52" s="76"/>
      <c r="H52" s="54"/>
    </row>
    <row r="53" spans="1:8">
      <c r="A53" s="74"/>
      <c r="B53" s="54"/>
      <c r="C53" s="56"/>
      <c r="D53" s="56"/>
      <c r="E53" s="56">
        <f t="shared" si="0"/>
        <v>0</v>
      </c>
      <c r="F53" s="77"/>
      <c r="G53" s="76"/>
      <c r="H53" s="54"/>
    </row>
    <row r="54" spans="1:8">
      <c r="A54" s="74"/>
      <c r="B54" s="54"/>
      <c r="C54" s="56"/>
      <c r="D54" s="56"/>
      <c r="E54" s="56">
        <f t="shared" si="0"/>
        <v>0</v>
      </c>
      <c r="F54" s="77"/>
      <c r="G54" s="76"/>
      <c r="H54" s="54"/>
    </row>
    <row r="55" spans="1:8">
      <c r="A55" s="74"/>
      <c r="B55" s="54"/>
      <c r="C55" s="56"/>
      <c r="D55" s="56"/>
      <c r="E55" s="56">
        <f t="shared" si="0"/>
        <v>0</v>
      </c>
      <c r="F55" s="77"/>
      <c r="G55" s="76"/>
      <c r="H55" s="54"/>
    </row>
    <row r="56" spans="1:8">
      <c r="A56" s="74"/>
      <c r="B56" s="54"/>
      <c r="C56" s="56"/>
      <c r="D56" s="56"/>
      <c r="E56" s="56">
        <f t="shared" si="0"/>
        <v>0</v>
      </c>
      <c r="F56" s="77"/>
      <c r="G56" s="76"/>
      <c r="H56" s="54"/>
    </row>
    <row r="57" spans="1:8">
      <c r="A57" s="74"/>
      <c r="B57" s="54"/>
      <c r="C57" s="56"/>
      <c r="D57" s="56"/>
      <c r="E57" s="56">
        <f t="shared" si="0"/>
        <v>0</v>
      </c>
      <c r="F57" s="77"/>
      <c r="G57" s="76"/>
      <c r="H57" s="54"/>
    </row>
    <row r="58" spans="1:8">
      <c r="A58" s="73"/>
      <c r="B58" s="54"/>
      <c r="C58" s="56"/>
      <c r="D58" s="56"/>
      <c r="E58" s="56">
        <f t="shared" si="0"/>
        <v>0</v>
      </c>
      <c r="F58" s="77"/>
      <c r="G58" s="76"/>
      <c r="H58" s="54"/>
    </row>
    <row r="59" spans="1:8">
      <c r="A59" s="73"/>
      <c r="B59" s="54"/>
      <c r="C59" s="56"/>
      <c r="D59" s="56"/>
      <c r="E59" s="56">
        <f t="shared" si="0"/>
        <v>0</v>
      </c>
      <c r="F59" s="77"/>
      <c r="G59" s="76"/>
      <c r="H59" s="54"/>
    </row>
    <row r="60" spans="1:8" s="71" customFormat="1">
      <c r="A60" s="73"/>
      <c r="B60" s="54"/>
      <c r="C60" s="56"/>
      <c r="D60" s="56"/>
      <c r="E60" s="56">
        <f t="shared" si="0"/>
        <v>0</v>
      </c>
      <c r="F60" s="77"/>
      <c r="G60" s="76"/>
      <c r="H60" s="54"/>
    </row>
    <row r="61" spans="1:8" s="71" customFormat="1">
      <c r="A61" s="73"/>
      <c r="B61" s="54"/>
      <c r="C61" s="56"/>
      <c r="D61" s="56"/>
      <c r="E61" s="56">
        <f t="shared" si="0"/>
        <v>0</v>
      </c>
      <c r="F61" s="77"/>
      <c r="G61" s="76"/>
      <c r="H61" s="54"/>
    </row>
    <row r="62" spans="1:8" s="71" customFormat="1">
      <c r="A62" s="73"/>
      <c r="B62" s="54"/>
      <c r="C62" s="56"/>
      <c r="D62" s="56"/>
      <c r="E62" s="56">
        <f t="shared" si="0"/>
        <v>0</v>
      </c>
      <c r="F62" s="77"/>
      <c r="G62" s="76"/>
      <c r="H62" s="54"/>
    </row>
    <row r="63" spans="1:8" s="71" customFormat="1">
      <c r="A63" s="73"/>
      <c r="B63" s="54"/>
      <c r="C63" s="56"/>
      <c r="D63" s="56"/>
      <c r="E63" s="56">
        <f t="shared" si="0"/>
        <v>0</v>
      </c>
      <c r="F63" s="77"/>
      <c r="G63" s="76"/>
      <c r="H63" s="54"/>
    </row>
    <row r="64" spans="1:8" s="71" customFormat="1">
      <c r="A64" s="73"/>
      <c r="B64" s="54"/>
      <c r="C64" s="56"/>
      <c r="D64" s="56"/>
      <c r="E64" s="56">
        <f t="shared" si="0"/>
        <v>0</v>
      </c>
      <c r="F64" s="77"/>
      <c r="G64" s="76"/>
      <c r="H64" s="54"/>
    </row>
    <row r="65" spans="1:8" s="71" customFormat="1">
      <c r="A65" s="73"/>
      <c r="B65" s="54"/>
      <c r="C65" s="56"/>
      <c r="D65" s="56"/>
      <c r="E65" s="56">
        <f t="shared" si="0"/>
        <v>0</v>
      </c>
      <c r="F65" s="77"/>
      <c r="G65" s="76"/>
      <c r="H65" s="54"/>
    </row>
    <row r="66" spans="1:8" s="71" customFormat="1">
      <c r="A66" s="73"/>
      <c r="B66" s="54"/>
      <c r="C66" s="56"/>
      <c r="D66" s="56"/>
      <c r="E66" s="56">
        <f t="shared" si="0"/>
        <v>0</v>
      </c>
      <c r="F66" s="77"/>
      <c r="G66" s="76"/>
      <c r="H66" s="54"/>
    </row>
    <row r="67" spans="1:8" s="71" customFormat="1">
      <c r="A67" s="73"/>
      <c r="B67" s="54"/>
      <c r="C67" s="56"/>
      <c r="D67" s="56"/>
      <c r="E67" s="56">
        <f t="shared" si="0"/>
        <v>0</v>
      </c>
      <c r="F67" s="77"/>
      <c r="G67" s="76"/>
      <c r="H67" s="54"/>
    </row>
    <row r="68" spans="1:8" s="71" customFormat="1">
      <c r="A68" s="73"/>
      <c r="B68" s="54"/>
      <c r="C68" s="56"/>
      <c r="D68" s="56"/>
      <c r="E68" s="56">
        <f t="shared" si="0"/>
        <v>0</v>
      </c>
      <c r="F68" s="77"/>
      <c r="G68" s="76"/>
      <c r="H68" s="54"/>
    </row>
    <row r="69" spans="1:8" s="71" customFormat="1">
      <c r="A69" s="73"/>
      <c r="B69" s="54"/>
      <c r="C69" s="56"/>
      <c r="D69" s="56"/>
      <c r="E69" s="56">
        <f t="shared" si="0"/>
        <v>0</v>
      </c>
      <c r="F69" s="77"/>
      <c r="G69" s="76"/>
      <c r="H69" s="54"/>
    </row>
    <row r="70" spans="1:8">
      <c r="A70" s="73"/>
      <c r="B70" s="54"/>
      <c r="C70" s="56"/>
      <c r="D70" s="56"/>
      <c r="E70" s="56">
        <f t="shared" si="0"/>
        <v>0</v>
      </c>
      <c r="F70" s="75"/>
      <c r="G70" s="76"/>
      <c r="H70" s="54"/>
    </row>
    <row r="71" spans="1:8">
      <c r="A71" s="74"/>
      <c r="B71" s="54"/>
      <c r="C71" s="56"/>
      <c r="D71" s="56"/>
      <c r="E71" s="56">
        <f t="shared" si="0"/>
        <v>0</v>
      </c>
      <c r="F71" s="77"/>
      <c r="G71" s="76"/>
      <c r="H71" s="54"/>
    </row>
    <row r="72" spans="1:8">
      <c r="A72" s="74"/>
      <c r="B72" s="54"/>
      <c r="C72" s="56"/>
      <c r="D72" s="56"/>
      <c r="E72" s="56">
        <f t="shared" ref="E72:E135" si="1">E71-C72+D72</f>
        <v>0</v>
      </c>
      <c r="F72" s="77"/>
      <c r="G72" s="76"/>
      <c r="H72" s="54"/>
    </row>
    <row r="73" spans="1:8" s="72" customFormat="1">
      <c r="A73" s="74"/>
      <c r="B73" s="54"/>
      <c r="C73" s="56"/>
      <c r="D73" s="56"/>
      <c r="E73" s="56">
        <f t="shared" si="1"/>
        <v>0</v>
      </c>
      <c r="F73" s="77"/>
      <c r="G73" s="76"/>
      <c r="H73" s="54"/>
    </row>
    <row r="74" spans="1:8">
      <c r="A74" s="74"/>
      <c r="B74" s="54"/>
      <c r="C74" s="56"/>
      <c r="D74" s="56"/>
      <c r="E74" s="56">
        <f t="shared" si="1"/>
        <v>0</v>
      </c>
      <c r="F74" s="77"/>
      <c r="G74" s="76"/>
      <c r="H74" s="54"/>
    </row>
    <row r="75" spans="1:8">
      <c r="A75" s="74"/>
      <c r="B75" s="54"/>
      <c r="C75" s="56"/>
      <c r="D75" s="56"/>
      <c r="E75" s="56">
        <f t="shared" si="1"/>
        <v>0</v>
      </c>
      <c r="F75" s="77"/>
      <c r="G75" s="76"/>
      <c r="H75" s="54"/>
    </row>
    <row r="76" spans="1:8">
      <c r="A76" s="74"/>
      <c r="B76" s="54"/>
      <c r="C76" s="56"/>
      <c r="D76" s="56"/>
      <c r="E76" s="56">
        <f t="shared" si="1"/>
        <v>0</v>
      </c>
      <c r="F76" s="77"/>
      <c r="G76" s="76"/>
      <c r="H76" s="54"/>
    </row>
    <row r="77" spans="1:8">
      <c r="A77" s="74"/>
      <c r="B77" s="54"/>
      <c r="C77" s="56"/>
      <c r="D77" s="56"/>
      <c r="E77" s="56">
        <f t="shared" si="1"/>
        <v>0</v>
      </c>
      <c r="F77" s="77"/>
      <c r="G77" s="76"/>
      <c r="H77" s="54"/>
    </row>
    <row r="78" spans="1:8">
      <c r="A78" s="74"/>
      <c r="B78" s="54"/>
      <c r="C78" s="56"/>
      <c r="D78" s="56"/>
      <c r="E78" s="56">
        <f t="shared" si="1"/>
        <v>0</v>
      </c>
      <c r="F78" s="77"/>
      <c r="G78" s="76"/>
      <c r="H78" s="54"/>
    </row>
    <row r="79" spans="1:8">
      <c r="A79" s="74"/>
      <c r="B79" s="54"/>
      <c r="C79" s="56"/>
      <c r="D79" s="56"/>
      <c r="E79" s="56">
        <f t="shared" si="1"/>
        <v>0</v>
      </c>
      <c r="F79" s="77"/>
      <c r="G79" s="76"/>
      <c r="H79" s="54"/>
    </row>
    <row r="80" spans="1:8">
      <c r="A80" s="74"/>
      <c r="B80" s="54"/>
      <c r="C80" s="56"/>
      <c r="D80" s="56"/>
      <c r="E80" s="56">
        <f t="shared" si="1"/>
        <v>0</v>
      </c>
      <c r="F80" s="77"/>
      <c r="G80" s="76"/>
      <c r="H80" s="54"/>
    </row>
    <row r="81" spans="1:8">
      <c r="A81" s="74"/>
      <c r="B81" s="54"/>
      <c r="C81" s="56"/>
      <c r="D81" s="56"/>
      <c r="E81" s="56">
        <f t="shared" si="1"/>
        <v>0</v>
      </c>
      <c r="F81" s="77"/>
      <c r="G81" s="76"/>
      <c r="H81" s="54"/>
    </row>
    <row r="82" spans="1:8">
      <c r="A82" s="74"/>
      <c r="B82" s="54"/>
      <c r="C82" s="56"/>
      <c r="D82" s="56"/>
      <c r="E82" s="56">
        <f t="shared" si="1"/>
        <v>0</v>
      </c>
      <c r="F82" s="77"/>
      <c r="G82" s="76"/>
      <c r="H82" s="54"/>
    </row>
    <row r="83" spans="1:8">
      <c r="A83" s="74"/>
      <c r="B83" s="54"/>
      <c r="C83" s="56"/>
      <c r="D83" s="56"/>
      <c r="E83" s="56">
        <f t="shared" si="1"/>
        <v>0</v>
      </c>
      <c r="F83" s="77"/>
      <c r="G83" s="76"/>
      <c r="H83" s="54"/>
    </row>
    <row r="84" spans="1:8">
      <c r="A84" s="74"/>
      <c r="B84" s="54"/>
      <c r="C84" s="56"/>
      <c r="D84" s="56"/>
      <c r="E84" s="56">
        <f t="shared" si="1"/>
        <v>0</v>
      </c>
      <c r="F84" s="77"/>
      <c r="G84" s="76"/>
      <c r="H84" s="54"/>
    </row>
    <row r="85" spans="1:8">
      <c r="A85" s="74"/>
      <c r="B85" s="54"/>
      <c r="C85" s="56"/>
      <c r="D85" s="56"/>
      <c r="E85" s="56">
        <f t="shared" si="1"/>
        <v>0</v>
      </c>
      <c r="F85" s="77"/>
      <c r="G85" s="76"/>
      <c r="H85" s="54"/>
    </row>
    <row r="86" spans="1:8">
      <c r="A86" s="74"/>
      <c r="B86" s="54"/>
      <c r="C86" s="56"/>
      <c r="D86" s="56"/>
      <c r="E86" s="56">
        <f t="shared" si="1"/>
        <v>0</v>
      </c>
      <c r="F86" s="77"/>
      <c r="G86" s="76"/>
      <c r="H86" s="54"/>
    </row>
    <row r="87" spans="1:8">
      <c r="A87" s="74"/>
      <c r="B87" s="54"/>
      <c r="C87" s="56"/>
      <c r="D87" s="56"/>
      <c r="E87" s="56">
        <f t="shared" si="1"/>
        <v>0</v>
      </c>
      <c r="F87" s="77"/>
      <c r="G87" s="76"/>
      <c r="H87" s="54"/>
    </row>
    <row r="88" spans="1:8">
      <c r="A88" s="74"/>
      <c r="B88" s="54"/>
      <c r="C88" s="56"/>
      <c r="D88" s="56"/>
      <c r="E88" s="56">
        <f t="shared" si="1"/>
        <v>0</v>
      </c>
      <c r="F88" s="77"/>
      <c r="G88" s="76"/>
      <c r="H88" s="54"/>
    </row>
    <row r="89" spans="1:8">
      <c r="A89" s="74"/>
      <c r="B89" s="54"/>
      <c r="C89" s="56"/>
      <c r="D89" s="56"/>
      <c r="E89" s="56">
        <f t="shared" si="1"/>
        <v>0</v>
      </c>
      <c r="F89" s="77"/>
      <c r="G89" s="76"/>
      <c r="H89" s="54"/>
    </row>
    <row r="90" spans="1:8">
      <c r="A90" s="74"/>
      <c r="B90" s="54"/>
      <c r="C90" s="56"/>
      <c r="D90" s="56"/>
      <c r="E90" s="56">
        <f t="shared" si="1"/>
        <v>0</v>
      </c>
      <c r="F90" s="77"/>
      <c r="G90" s="76"/>
      <c r="H90" s="54"/>
    </row>
    <row r="91" spans="1:8">
      <c r="A91" s="74"/>
      <c r="B91" s="54"/>
      <c r="C91" s="56"/>
      <c r="D91" s="56"/>
      <c r="E91" s="56">
        <f t="shared" si="1"/>
        <v>0</v>
      </c>
      <c r="F91" s="77"/>
      <c r="G91" s="76"/>
      <c r="H91" s="54"/>
    </row>
    <row r="92" spans="1:8">
      <c r="A92" s="74"/>
      <c r="B92" s="54"/>
      <c r="C92" s="56"/>
      <c r="D92" s="56"/>
      <c r="E92" s="56">
        <f t="shared" si="1"/>
        <v>0</v>
      </c>
      <c r="F92" s="77"/>
      <c r="G92" s="76"/>
      <c r="H92" s="54"/>
    </row>
    <row r="93" spans="1:8">
      <c r="A93" s="74"/>
      <c r="B93" s="54"/>
      <c r="C93" s="56"/>
      <c r="D93" s="56"/>
      <c r="E93" s="56">
        <f t="shared" si="1"/>
        <v>0</v>
      </c>
      <c r="F93" s="78"/>
      <c r="G93" s="76"/>
      <c r="H93" s="54"/>
    </row>
    <row r="94" spans="1:8">
      <c r="A94" s="74"/>
      <c r="B94" s="54"/>
      <c r="C94" s="56"/>
      <c r="D94" s="56"/>
      <c r="E94" s="56">
        <f t="shared" si="1"/>
        <v>0</v>
      </c>
      <c r="F94" s="77"/>
      <c r="G94" s="81"/>
      <c r="H94" s="54"/>
    </row>
    <row r="95" spans="1:8">
      <c r="A95" s="74"/>
      <c r="B95" s="54"/>
      <c r="C95" s="56"/>
      <c r="D95" s="56"/>
      <c r="E95" s="56">
        <f t="shared" si="1"/>
        <v>0</v>
      </c>
      <c r="F95" s="77"/>
      <c r="G95" s="76"/>
      <c r="H95" s="54"/>
    </row>
    <row r="96" spans="1:8">
      <c r="A96" s="74"/>
      <c r="B96" s="54"/>
      <c r="C96" s="56"/>
      <c r="D96" s="56"/>
      <c r="E96" s="56">
        <f t="shared" si="1"/>
        <v>0</v>
      </c>
      <c r="F96" s="77"/>
      <c r="G96" s="76"/>
      <c r="H96" s="54"/>
    </row>
    <row r="97" spans="1:8">
      <c r="A97" s="74"/>
      <c r="B97" s="54"/>
      <c r="C97" s="56"/>
      <c r="D97" s="56"/>
      <c r="E97" s="56">
        <f t="shared" si="1"/>
        <v>0</v>
      </c>
      <c r="F97" s="77"/>
      <c r="G97" s="69"/>
      <c r="H97" s="82"/>
    </row>
    <row r="98" spans="1:8">
      <c r="A98" s="74"/>
      <c r="B98" s="54"/>
      <c r="C98" s="56"/>
      <c r="D98" s="56"/>
      <c r="E98" s="56">
        <f t="shared" si="1"/>
        <v>0</v>
      </c>
      <c r="F98" s="77"/>
      <c r="G98" s="76"/>
      <c r="H98" s="82"/>
    </row>
    <row r="99" spans="1:8">
      <c r="A99" s="74"/>
      <c r="B99" s="54"/>
      <c r="C99" s="56"/>
      <c r="D99" s="56"/>
      <c r="E99" s="56">
        <f t="shared" si="1"/>
        <v>0</v>
      </c>
      <c r="F99" s="77"/>
      <c r="G99" s="76"/>
      <c r="H99" s="54"/>
    </row>
    <row r="100" spans="1:8" s="71" customFormat="1">
      <c r="A100" s="74"/>
      <c r="B100" s="54"/>
      <c r="C100" s="56"/>
      <c r="D100" s="56"/>
      <c r="E100" s="56">
        <f t="shared" si="1"/>
        <v>0</v>
      </c>
      <c r="F100" s="77"/>
      <c r="G100" s="69"/>
      <c r="H100" s="82"/>
    </row>
    <row r="101" spans="1:8">
      <c r="A101" s="74"/>
      <c r="B101" s="54"/>
      <c r="C101" s="56"/>
      <c r="D101" s="56"/>
      <c r="E101" s="56">
        <f t="shared" si="1"/>
        <v>0</v>
      </c>
      <c r="F101" s="77"/>
      <c r="G101" s="76"/>
      <c r="H101" s="54"/>
    </row>
    <row r="102" spans="1:8">
      <c r="A102" s="74"/>
      <c r="B102" s="54"/>
      <c r="C102" s="56"/>
      <c r="D102" s="56"/>
      <c r="E102" s="56">
        <f t="shared" si="1"/>
        <v>0</v>
      </c>
      <c r="F102" s="77"/>
      <c r="G102" s="76"/>
      <c r="H102" s="54"/>
    </row>
    <row r="103" spans="1:8" s="71" customFormat="1">
      <c r="A103" s="74"/>
      <c r="B103" s="54"/>
      <c r="C103" s="56"/>
      <c r="D103" s="56"/>
      <c r="E103" s="56">
        <f t="shared" si="1"/>
        <v>0</v>
      </c>
      <c r="F103" s="77"/>
      <c r="G103" s="69"/>
      <c r="H103" s="82"/>
    </row>
    <row r="104" spans="1:8">
      <c r="A104" s="74"/>
      <c r="B104" s="54"/>
      <c r="C104" s="56"/>
      <c r="D104" s="56"/>
      <c r="E104" s="56">
        <f t="shared" si="1"/>
        <v>0</v>
      </c>
      <c r="F104" s="77"/>
      <c r="G104" s="76"/>
      <c r="H104" s="54"/>
    </row>
    <row r="105" spans="1:8">
      <c r="A105" s="74"/>
      <c r="B105" s="54"/>
      <c r="C105" s="56"/>
      <c r="D105" s="56"/>
      <c r="E105" s="56">
        <f t="shared" si="1"/>
        <v>0</v>
      </c>
      <c r="F105" s="77"/>
      <c r="G105" s="76"/>
      <c r="H105" s="54"/>
    </row>
    <row r="106" spans="1:8">
      <c r="A106" s="74"/>
      <c r="B106" s="54"/>
      <c r="C106" s="56"/>
      <c r="D106" s="56"/>
      <c r="E106" s="56">
        <f t="shared" si="1"/>
        <v>0</v>
      </c>
      <c r="F106" s="77"/>
      <c r="G106" s="76"/>
      <c r="H106" s="54"/>
    </row>
    <row r="107" spans="1:8" s="71" customFormat="1">
      <c r="A107" s="74"/>
      <c r="B107" s="54"/>
      <c r="C107" s="56"/>
      <c r="D107" s="56"/>
      <c r="E107" s="56">
        <f t="shared" si="1"/>
        <v>0</v>
      </c>
      <c r="F107" s="77"/>
      <c r="G107" s="76"/>
      <c r="H107" s="54"/>
    </row>
    <row r="108" spans="1:8" s="71" customFormat="1">
      <c r="A108" s="74"/>
      <c r="B108" s="54"/>
      <c r="C108" s="56"/>
      <c r="D108" s="56"/>
      <c r="E108" s="56">
        <f t="shared" si="1"/>
        <v>0</v>
      </c>
      <c r="F108" s="77"/>
      <c r="G108" s="76"/>
      <c r="H108" s="54"/>
    </row>
    <row r="109" spans="1:8" s="71" customFormat="1">
      <c r="A109" s="74"/>
      <c r="B109" s="54"/>
      <c r="C109" s="56"/>
      <c r="D109" s="56"/>
      <c r="E109" s="56">
        <f t="shared" si="1"/>
        <v>0</v>
      </c>
      <c r="F109" s="77"/>
      <c r="G109" s="76"/>
      <c r="H109" s="54"/>
    </row>
    <row r="110" spans="1:8">
      <c r="A110" s="74"/>
      <c r="B110" s="54"/>
      <c r="C110" s="56"/>
      <c r="D110" s="56"/>
      <c r="E110" s="56">
        <f t="shared" si="1"/>
        <v>0</v>
      </c>
      <c r="F110" s="77"/>
      <c r="G110" s="76"/>
      <c r="H110" s="54"/>
    </row>
    <row r="111" spans="1:8" s="71" customFormat="1">
      <c r="A111" s="74"/>
      <c r="B111" s="54"/>
      <c r="C111" s="56"/>
      <c r="D111" s="56"/>
      <c r="E111" s="56">
        <f t="shared" si="1"/>
        <v>0</v>
      </c>
      <c r="F111" s="77"/>
      <c r="G111" s="76"/>
      <c r="H111" s="54"/>
    </row>
    <row r="112" spans="1:8">
      <c r="A112" s="74"/>
      <c r="B112" s="54"/>
      <c r="C112" s="56"/>
      <c r="D112" s="56"/>
      <c r="E112" s="56">
        <f t="shared" si="1"/>
        <v>0</v>
      </c>
      <c r="F112" s="77"/>
      <c r="G112" s="76"/>
      <c r="H112" s="54"/>
    </row>
    <row r="113" spans="1:8">
      <c r="A113" s="74"/>
      <c r="B113" s="54"/>
      <c r="C113" s="56"/>
      <c r="D113" s="56"/>
      <c r="E113" s="56">
        <f t="shared" si="1"/>
        <v>0</v>
      </c>
      <c r="F113" s="77"/>
      <c r="G113" s="76"/>
      <c r="H113" s="54"/>
    </row>
    <row r="114" spans="1:8">
      <c r="A114" s="74"/>
      <c r="B114" s="54"/>
      <c r="C114" s="56"/>
      <c r="D114" s="56"/>
      <c r="E114" s="56">
        <f t="shared" si="1"/>
        <v>0</v>
      </c>
      <c r="F114" s="77"/>
      <c r="G114" s="76"/>
      <c r="H114" s="54"/>
    </row>
    <row r="115" spans="1:8">
      <c r="A115" s="74"/>
      <c r="B115" s="54"/>
      <c r="C115" s="56"/>
      <c r="D115" s="56"/>
      <c r="E115" s="56">
        <f t="shared" si="1"/>
        <v>0</v>
      </c>
      <c r="F115" s="77"/>
      <c r="G115" s="76"/>
      <c r="H115" s="54"/>
    </row>
    <row r="116" spans="1:8">
      <c r="A116" s="74"/>
      <c r="B116" s="54"/>
      <c r="C116" s="56"/>
      <c r="D116" s="56"/>
      <c r="E116" s="56">
        <f t="shared" si="1"/>
        <v>0</v>
      </c>
      <c r="F116" s="77"/>
      <c r="G116" s="76"/>
      <c r="H116" s="54"/>
    </row>
    <row r="117" spans="1:8">
      <c r="A117" s="74"/>
      <c r="B117" s="54"/>
      <c r="C117" s="56"/>
      <c r="D117" s="56"/>
      <c r="E117" s="56">
        <f t="shared" si="1"/>
        <v>0</v>
      </c>
      <c r="F117" s="77"/>
      <c r="G117" s="76"/>
      <c r="H117" s="54"/>
    </row>
    <row r="118" spans="1:8">
      <c r="A118" s="74"/>
      <c r="B118" s="54"/>
      <c r="C118" s="56"/>
      <c r="D118" s="56"/>
      <c r="E118" s="56">
        <f t="shared" si="1"/>
        <v>0</v>
      </c>
      <c r="F118" s="77"/>
      <c r="G118" s="76"/>
      <c r="H118" s="54"/>
    </row>
    <row r="119" spans="1:8">
      <c r="A119" s="74"/>
      <c r="B119" s="54"/>
      <c r="C119" s="56"/>
      <c r="D119" s="56"/>
      <c r="E119" s="56">
        <f t="shared" si="1"/>
        <v>0</v>
      </c>
      <c r="F119" s="77"/>
      <c r="G119" s="69"/>
      <c r="H119" s="54"/>
    </row>
    <row r="120" spans="1:8">
      <c r="A120" s="74"/>
      <c r="B120" s="54"/>
      <c r="C120" s="56"/>
      <c r="D120" s="56"/>
      <c r="E120" s="56">
        <f t="shared" si="1"/>
        <v>0</v>
      </c>
      <c r="F120" s="77"/>
      <c r="G120" s="69"/>
      <c r="H120" s="54"/>
    </row>
    <row r="121" spans="1:8">
      <c r="A121" s="74"/>
      <c r="B121" s="54"/>
      <c r="C121" s="56"/>
      <c r="D121" s="56"/>
      <c r="E121" s="56">
        <f t="shared" si="1"/>
        <v>0</v>
      </c>
      <c r="F121" s="77"/>
      <c r="G121" s="69"/>
      <c r="H121" s="54"/>
    </row>
    <row r="122" spans="1:8">
      <c r="A122" s="74"/>
      <c r="B122" s="54"/>
      <c r="C122" s="56"/>
      <c r="D122" s="56"/>
      <c r="E122" s="56">
        <f t="shared" si="1"/>
        <v>0</v>
      </c>
      <c r="F122" s="77"/>
      <c r="G122" s="76"/>
      <c r="H122" s="54"/>
    </row>
    <row r="123" spans="1:8">
      <c r="A123" s="83"/>
      <c r="B123" s="54"/>
      <c r="C123" s="56"/>
      <c r="D123" s="84"/>
      <c r="E123" s="56">
        <f t="shared" si="1"/>
        <v>0</v>
      </c>
      <c r="F123" s="77"/>
      <c r="G123" s="76"/>
      <c r="H123" s="54"/>
    </row>
    <row r="124" spans="1:8">
      <c r="A124" s="74"/>
      <c r="B124" s="54"/>
      <c r="C124" s="56"/>
      <c r="D124" s="56"/>
      <c r="E124" s="56">
        <f t="shared" si="1"/>
        <v>0</v>
      </c>
      <c r="F124" s="77"/>
      <c r="G124" s="69"/>
      <c r="H124" s="54"/>
    </row>
    <row r="125" spans="1:8">
      <c r="A125" s="74"/>
      <c r="B125" s="54"/>
      <c r="C125" s="56"/>
      <c r="D125" s="56"/>
      <c r="E125" s="56">
        <f t="shared" si="1"/>
        <v>0</v>
      </c>
      <c r="F125" s="77"/>
      <c r="G125" s="76"/>
      <c r="H125" s="54"/>
    </row>
    <row r="126" spans="1:8">
      <c r="A126" s="74"/>
      <c r="B126" s="54"/>
      <c r="C126" s="56"/>
      <c r="D126" s="56"/>
      <c r="E126" s="56">
        <f t="shared" si="1"/>
        <v>0</v>
      </c>
      <c r="F126" s="77"/>
      <c r="G126" s="76"/>
      <c r="H126" s="54"/>
    </row>
    <row r="127" spans="1:8">
      <c r="A127" s="74"/>
      <c r="B127" s="54"/>
      <c r="C127" s="56"/>
      <c r="D127" s="56"/>
      <c r="E127" s="56">
        <f t="shared" si="1"/>
        <v>0</v>
      </c>
      <c r="F127" s="77"/>
      <c r="G127" s="76"/>
      <c r="H127" s="54"/>
    </row>
    <row r="128" spans="1:8">
      <c r="A128" s="74"/>
      <c r="B128" s="54"/>
      <c r="C128" s="56"/>
      <c r="D128" s="56"/>
      <c r="E128" s="56">
        <f t="shared" si="1"/>
        <v>0</v>
      </c>
      <c r="F128" s="77"/>
      <c r="G128" s="76"/>
      <c r="H128" s="54"/>
    </row>
    <row r="129" spans="1:8">
      <c r="A129" s="83"/>
      <c r="B129" s="54"/>
      <c r="C129" s="56"/>
      <c r="D129" s="56"/>
      <c r="E129" s="56">
        <f t="shared" si="1"/>
        <v>0</v>
      </c>
      <c r="F129" s="77"/>
      <c r="G129" s="76"/>
      <c r="H129" s="54"/>
    </row>
    <row r="130" spans="1:8">
      <c r="A130" s="74"/>
      <c r="B130" s="54"/>
      <c r="C130" s="56"/>
      <c r="D130" s="56"/>
      <c r="E130" s="56">
        <f t="shared" si="1"/>
        <v>0</v>
      </c>
      <c r="F130" s="77"/>
      <c r="G130" s="76"/>
      <c r="H130" s="54"/>
    </row>
    <row r="131" spans="1:8" s="71" customFormat="1">
      <c r="A131" s="74"/>
      <c r="B131" s="54"/>
      <c r="C131" s="56"/>
      <c r="D131" s="56"/>
      <c r="E131" s="56">
        <f t="shared" si="1"/>
        <v>0</v>
      </c>
      <c r="F131" s="77"/>
      <c r="G131" s="76"/>
      <c r="H131" s="54"/>
    </row>
    <row r="132" spans="1:8">
      <c r="A132" s="74"/>
      <c r="B132" s="54"/>
      <c r="C132" s="56"/>
      <c r="D132" s="56"/>
      <c r="E132" s="56">
        <f t="shared" si="1"/>
        <v>0</v>
      </c>
      <c r="F132" s="77"/>
      <c r="G132" s="76"/>
      <c r="H132" s="54"/>
    </row>
    <row r="133" spans="1:8">
      <c r="A133" s="74"/>
      <c r="B133" s="54"/>
      <c r="C133" s="56"/>
      <c r="D133" s="56"/>
      <c r="E133" s="56">
        <f t="shared" si="1"/>
        <v>0</v>
      </c>
      <c r="F133" s="77"/>
      <c r="G133" s="76"/>
      <c r="H133" s="54"/>
    </row>
    <row r="134" spans="1:8">
      <c r="A134" s="74"/>
      <c r="B134" s="54"/>
      <c r="C134" s="56"/>
      <c r="D134" s="56"/>
      <c r="E134" s="56">
        <f t="shared" si="1"/>
        <v>0</v>
      </c>
      <c r="F134" s="77"/>
      <c r="G134" s="76"/>
      <c r="H134" s="54"/>
    </row>
    <row r="135" spans="1:8">
      <c r="A135" s="74"/>
      <c r="B135" s="54"/>
      <c r="C135" s="56"/>
      <c r="D135" s="56"/>
      <c r="E135" s="56">
        <f t="shared" si="1"/>
        <v>0</v>
      </c>
      <c r="F135" s="77"/>
      <c r="G135" s="76"/>
      <c r="H135" s="54"/>
    </row>
    <row r="136" spans="1:8">
      <c r="A136" s="74"/>
      <c r="B136" s="54"/>
      <c r="C136" s="56"/>
      <c r="D136" s="56"/>
      <c r="E136" s="56">
        <f t="shared" ref="E136:E163" si="2">E135-C136+D136</f>
        <v>0</v>
      </c>
      <c r="F136" s="77"/>
      <c r="G136" s="76"/>
      <c r="H136" s="54"/>
    </row>
    <row r="137" spans="1:8">
      <c r="A137" s="74"/>
      <c r="B137" s="54"/>
      <c r="C137" s="56"/>
      <c r="D137" s="56"/>
      <c r="E137" s="56">
        <f t="shared" si="2"/>
        <v>0</v>
      </c>
      <c r="F137" s="77"/>
      <c r="G137" s="76"/>
      <c r="H137" s="82"/>
    </row>
    <row r="138" spans="1:8">
      <c r="A138" s="74"/>
      <c r="B138" s="54"/>
      <c r="C138" s="56"/>
      <c r="D138" s="56"/>
      <c r="E138" s="56">
        <f t="shared" si="2"/>
        <v>0</v>
      </c>
      <c r="F138" s="77"/>
      <c r="G138" s="76"/>
      <c r="H138" s="54"/>
    </row>
    <row r="139" spans="1:8">
      <c r="A139" s="74"/>
      <c r="B139" s="54"/>
      <c r="C139" s="56"/>
      <c r="D139" s="56"/>
      <c r="E139" s="56">
        <f t="shared" si="2"/>
        <v>0</v>
      </c>
      <c r="F139" s="77"/>
      <c r="G139" s="76"/>
      <c r="H139" s="54"/>
    </row>
    <row r="140" spans="1:8">
      <c r="A140" s="74"/>
      <c r="B140" s="54"/>
      <c r="C140" s="56"/>
      <c r="D140" s="56"/>
      <c r="E140" s="56">
        <f t="shared" si="2"/>
        <v>0</v>
      </c>
      <c r="F140" s="77"/>
      <c r="G140" s="76"/>
      <c r="H140" s="54"/>
    </row>
    <row r="141" spans="1:8">
      <c r="A141" s="74"/>
      <c r="B141" s="54"/>
      <c r="C141" s="56"/>
      <c r="D141" s="56"/>
      <c r="E141" s="56">
        <f t="shared" si="2"/>
        <v>0</v>
      </c>
      <c r="F141" s="77"/>
      <c r="G141" s="76"/>
      <c r="H141" s="54"/>
    </row>
    <row r="142" spans="1:8">
      <c r="A142" s="74"/>
      <c r="B142" s="54"/>
      <c r="C142" s="56"/>
      <c r="D142" s="56"/>
      <c r="E142" s="56">
        <f t="shared" si="2"/>
        <v>0</v>
      </c>
      <c r="F142" s="77"/>
      <c r="G142" s="76"/>
      <c r="H142" s="54"/>
    </row>
    <row r="143" spans="1:8">
      <c r="A143" s="74"/>
      <c r="B143" s="54"/>
      <c r="C143" s="56"/>
      <c r="D143" s="56"/>
      <c r="E143" s="56">
        <f t="shared" si="2"/>
        <v>0</v>
      </c>
      <c r="F143" s="77"/>
      <c r="G143" s="76"/>
      <c r="H143" s="54"/>
    </row>
    <row r="144" spans="1:8">
      <c r="A144" s="74"/>
      <c r="B144" s="54"/>
      <c r="C144" s="56"/>
      <c r="D144" s="56"/>
      <c r="E144" s="56">
        <f t="shared" si="2"/>
        <v>0</v>
      </c>
      <c r="F144" s="77"/>
      <c r="G144" s="76"/>
      <c r="H144" s="54"/>
    </row>
    <row r="145" spans="1:8">
      <c r="A145" s="74"/>
      <c r="B145" s="54"/>
      <c r="C145" s="56"/>
      <c r="D145" s="56"/>
      <c r="E145" s="56">
        <f t="shared" si="2"/>
        <v>0</v>
      </c>
      <c r="F145" s="77"/>
      <c r="G145" s="76"/>
      <c r="H145" s="54"/>
    </row>
    <row r="146" spans="1:8">
      <c r="A146" s="74"/>
      <c r="B146" s="54"/>
      <c r="C146" s="56"/>
      <c r="D146" s="56"/>
      <c r="E146" s="56">
        <f t="shared" si="2"/>
        <v>0</v>
      </c>
      <c r="F146" s="77"/>
      <c r="G146" s="76"/>
      <c r="H146" s="54"/>
    </row>
    <row r="147" spans="1:8">
      <c r="A147" s="74"/>
      <c r="B147" s="54"/>
      <c r="C147" s="56"/>
      <c r="D147" s="56"/>
      <c r="E147" s="56">
        <f t="shared" si="2"/>
        <v>0</v>
      </c>
      <c r="F147" s="77"/>
      <c r="G147" s="76"/>
      <c r="H147" s="54"/>
    </row>
    <row r="148" spans="1:8">
      <c r="A148" s="74"/>
      <c r="B148" s="54"/>
      <c r="C148" s="56"/>
      <c r="D148" s="56"/>
      <c r="E148" s="56">
        <f t="shared" si="2"/>
        <v>0</v>
      </c>
      <c r="F148" s="77"/>
      <c r="G148" s="76"/>
      <c r="H148" s="54"/>
    </row>
    <row r="149" spans="1:8">
      <c r="A149" s="74"/>
      <c r="B149" s="54"/>
      <c r="C149" s="56"/>
      <c r="D149" s="56"/>
      <c r="E149" s="56">
        <f t="shared" si="2"/>
        <v>0</v>
      </c>
      <c r="F149" s="77"/>
      <c r="G149" s="76"/>
      <c r="H149" s="54"/>
    </row>
    <row r="150" spans="1:8" s="71" customFormat="1">
      <c r="A150" s="74"/>
      <c r="B150" s="54"/>
      <c r="C150" s="56"/>
      <c r="D150" s="56"/>
      <c r="E150" s="56">
        <f t="shared" si="2"/>
        <v>0</v>
      </c>
      <c r="F150" s="77"/>
      <c r="G150" s="76"/>
      <c r="H150" s="54"/>
    </row>
    <row r="151" spans="1:8">
      <c r="A151" s="74"/>
      <c r="B151" s="54"/>
      <c r="C151" s="56"/>
      <c r="D151" s="56"/>
      <c r="E151" s="56">
        <f t="shared" si="2"/>
        <v>0</v>
      </c>
      <c r="F151" s="78"/>
      <c r="G151" s="76"/>
      <c r="H151" s="54"/>
    </row>
    <row r="152" spans="1:8">
      <c r="A152" s="74"/>
      <c r="B152" s="54"/>
      <c r="C152" s="56"/>
      <c r="D152" s="56"/>
      <c r="E152" s="56">
        <f t="shared" si="2"/>
        <v>0</v>
      </c>
      <c r="F152" s="77"/>
      <c r="G152" s="54"/>
      <c r="H152" s="54"/>
    </row>
    <row r="153" spans="1:8">
      <c r="A153" s="74"/>
      <c r="B153" s="54"/>
      <c r="C153" s="56"/>
      <c r="D153" s="56"/>
      <c r="E153" s="56">
        <f t="shared" si="2"/>
        <v>0</v>
      </c>
      <c r="F153" s="77"/>
      <c r="G153" s="76"/>
      <c r="H153" s="54"/>
    </row>
    <row r="154" spans="1:8">
      <c r="A154" s="74"/>
      <c r="B154" s="54"/>
      <c r="C154" s="56"/>
      <c r="D154" s="56"/>
      <c r="E154" s="56">
        <f t="shared" si="2"/>
        <v>0</v>
      </c>
      <c r="F154" s="77"/>
      <c r="G154" s="76"/>
      <c r="H154" s="54"/>
    </row>
    <row r="155" spans="1:8">
      <c r="A155" s="74"/>
      <c r="B155" s="54"/>
      <c r="C155" s="56"/>
      <c r="D155" s="56"/>
      <c r="E155" s="56">
        <f t="shared" si="2"/>
        <v>0</v>
      </c>
      <c r="F155" s="77"/>
      <c r="G155" s="76"/>
      <c r="H155" s="54"/>
    </row>
    <row r="156" spans="1:8">
      <c r="A156" s="74"/>
      <c r="B156" s="54"/>
      <c r="C156" s="56"/>
      <c r="D156" s="56"/>
      <c r="E156" s="56">
        <f t="shared" si="2"/>
        <v>0</v>
      </c>
      <c r="F156" s="77"/>
      <c r="G156" s="76"/>
      <c r="H156" s="54"/>
    </row>
    <row r="157" spans="1:8">
      <c r="A157" s="74"/>
      <c r="B157" s="54"/>
      <c r="C157" s="56"/>
      <c r="D157" s="56"/>
      <c r="E157" s="56">
        <f t="shared" si="2"/>
        <v>0</v>
      </c>
      <c r="F157" s="77"/>
      <c r="G157" s="76"/>
      <c r="H157" s="54"/>
    </row>
    <row r="158" spans="1:8">
      <c r="A158" s="74"/>
      <c r="B158" s="54"/>
      <c r="C158" s="56"/>
      <c r="D158" s="56"/>
      <c r="E158" s="56">
        <f t="shared" si="2"/>
        <v>0</v>
      </c>
      <c r="F158" s="77"/>
      <c r="G158" s="76"/>
      <c r="H158" s="54"/>
    </row>
    <row r="159" spans="1:8">
      <c r="A159" s="74"/>
      <c r="B159" s="54"/>
      <c r="C159" s="56"/>
      <c r="D159" s="56"/>
      <c r="E159" s="56">
        <f t="shared" si="2"/>
        <v>0</v>
      </c>
      <c r="F159" s="77"/>
      <c r="G159" s="76"/>
      <c r="H159" s="54"/>
    </row>
    <row r="160" spans="1:8">
      <c r="A160" s="74"/>
      <c r="B160" s="54"/>
      <c r="C160" s="56"/>
      <c r="D160" s="56"/>
      <c r="E160" s="56">
        <f t="shared" si="2"/>
        <v>0</v>
      </c>
      <c r="F160" s="77"/>
      <c r="G160" s="76"/>
      <c r="H160" s="54"/>
    </row>
    <row r="161" spans="1:8">
      <c r="A161" s="74"/>
      <c r="B161" s="54"/>
      <c r="C161" s="56"/>
      <c r="D161" s="56"/>
      <c r="E161" s="56">
        <f t="shared" si="2"/>
        <v>0</v>
      </c>
      <c r="F161" s="77"/>
      <c r="G161" s="76"/>
      <c r="H161" s="54"/>
    </row>
    <row r="162" spans="1:8">
      <c r="A162" s="74"/>
      <c r="B162" s="54"/>
      <c r="C162" s="56"/>
      <c r="D162" s="56"/>
      <c r="E162" s="56">
        <f t="shared" si="2"/>
        <v>0</v>
      </c>
      <c r="F162" s="77"/>
      <c r="G162" s="76"/>
      <c r="H162" s="54"/>
    </row>
    <row r="163" spans="1:8">
      <c r="A163" s="74"/>
      <c r="B163" s="54"/>
      <c r="C163" s="56"/>
      <c r="D163" s="56"/>
      <c r="E163" s="56">
        <f t="shared" si="2"/>
        <v>0</v>
      </c>
      <c r="F163" s="77"/>
      <c r="G163" s="76"/>
      <c r="H163" s="54"/>
    </row>
    <row r="164" spans="1:8">
      <c r="C164" s="70">
        <f>SUM(C7:C163)</f>
        <v>0</v>
      </c>
      <c r="D164" s="70">
        <f>SUM(D7:D163)</f>
        <v>0</v>
      </c>
      <c r="F164" s="67"/>
    </row>
    <row r="168" spans="1:8">
      <c r="H168" t="s">
        <v>435</v>
      </c>
    </row>
  </sheetData>
  <autoFilter ref="A5:H5" xr:uid="{163EE640-5476-4526-A73E-2E8E04840C34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B796-6C7C-4B06-BA53-6A46ACBFBB2C}">
  <dimension ref="A1:H168"/>
  <sheetViews>
    <sheetView zoomScale="175" zoomScaleNormal="175" workbookViewId="0">
      <selection activeCell="A3" sqref="A3"/>
    </sheetView>
  </sheetViews>
  <sheetFormatPr baseColWidth="10" defaultColWidth="11.42578125" defaultRowHeight="15"/>
  <cols>
    <col min="2" max="2" width="22.28515625" customWidth="1"/>
    <col min="3" max="3" width="12.85546875" customWidth="1"/>
    <col min="4" max="4" width="12.7109375" customWidth="1"/>
    <col min="5" max="5" width="12.28515625" customWidth="1"/>
    <col min="6" max="6" width="10.140625" style="68" customWidth="1"/>
    <col min="7" max="7" width="65.42578125" customWidth="1"/>
    <col min="8" max="8" width="59.28515625" customWidth="1"/>
  </cols>
  <sheetData>
    <row r="1" spans="1:8">
      <c r="A1" s="15"/>
      <c r="B1" s="15"/>
      <c r="C1" s="32"/>
      <c r="D1" s="32"/>
      <c r="E1" s="28" t="s">
        <v>0</v>
      </c>
      <c r="F1" s="65"/>
      <c r="G1" s="29"/>
      <c r="H1" s="29"/>
    </row>
    <row r="2" spans="1:8">
      <c r="A2" s="30" t="s">
        <v>552</v>
      </c>
      <c r="B2" s="15"/>
      <c r="C2" s="32"/>
      <c r="D2" s="32"/>
      <c r="E2" s="28" t="s">
        <v>2</v>
      </c>
      <c r="F2" s="65"/>
      <c r="G2" s="29"/>
      <c r="H2" s="29"/>
    </row>
    <row r="3" spans="1:8">
      <c r="A3" s="30" t="s">
        <v>553</v>
      </c>
      <c r="B3" s="15"/>
      <c r="C3" s="32"/>
      <c r="D3" s="32"/>
      <c r="E3" s="28" t="s">
        <v>4</v>
      </c>
      <c r="F3" s="65"/>
      <c r="G3" s="29"/>
      <c r="H3" s="29"/>
    </row>
    <row r="4" spans="1:8">
      <c r="A4" s="29"/>
      <c r="B4" s="29"/>
      <c r="C4" s="31"/>
      <c r="D4" s="31"/>
      <c r="E4" s="29"/>
      <c r="F4" s="66"/>
      <c r="G4" s="29"/>
      <c r="H4" s="29"/>
    </row>
    <row r="5" spans="1:8">
      <c r="A5" s="7" t="s">
        <v>5</v>
      </c>
      <c r="B5" s="7" t="s">
        <v>6</v>
      </c>
      <c r="C5" s="33" t="s">
        <v>7</v>
      </c>
      <c r="D5" s="33" t="s">
        <v>8</v>
      </c>
      <c r="E5" s="9" t="s">
        <v>9</v>
      </c>
      <c r="F5" s="64" t="s">
        <v>432</v>
      </c>
      <c r="G5" s="63" t="s">
        <v>433</v>
      </c>
      <c r="H5" s="54" t="s">
        <v>434</v>
      </c>
    </row>
    <row r="6" spans="1:8">
      <c r="A6" s="10"/>
      <c r="B6" s="10" t="s">
        <v>11</v>
      </c>
      <c r="C6" s="48"/>
      <c r="D6" s="48">
        <v>0</v>
      </c>
      <c r="E6" s="45"/>
      <c r="F6" s="63"/>
      <c r="G6" s="63"/>
      <c r="H6" s="45"/>
    </row>
    <row r="7" spans="1:8" s="71" customFormat="1">
      <c r="A7" s="74"/>
      <c r="B7" s="54"/>
      <c r="C7" s="56"/>
      <c r="D7" s="56"/>
      <c r="E7" s="56">
        <f>D6-C7+D7</f>
        <v>0</v>
      </c>
      <c r="F7" s="75"/>
      <c r="G7" s="76"/>
      <c r="H7" s="54"/>
    </row>
    <row r="8" spans="1:8">
      <c r="A8" s="74"/>
      <c r="B8" s="54"/>
      <c r="C8" s="56"/>
      <c r="D8" s="56"/>
      <c r="E8" s="56">
        <f t="shared" ref="E8:E71" si="0">E7-C8+D8</f>
        <v>0</v>
      </c>
      <c r="F8" s="75"/>
      <c r="G8" s="76"/>
      <c r="H8" s="54"/>
    </row>
    <row r="9" spans="1:8">
      <c r="A9" s="74"/>
      <c r="B9" s="54"/>
      <c r="C9" s="56"/>
      <c r="D9" s="56"/>
      <c r="E9" s="56">
        <f t="shared" si="0"/>
        <v>0</v>
      </c>
      <c r="F9" s="77"/>
      <c r="G9" s="76"/>
      <c r="H9" s="54"/>
    </row>
    <row r="10" spans="1:8">
      <c r="A10" s="74"/>
      <c r="B10" s="54"/>
      <c r="C10" s="56"/>
      <c r="D10" s="56"/>
      <c r="E10" s="56">
        <f t="shared" si="0"/>
        <v>0</v>
      </c>
      <c r="F10" s="77"/>
      <c r="G10" s="76"/>
      <c r="H10" s="54"/>
    </row>
    <row r="11" spans="1:8">
      <c r="A11" s="74"/>
      <c r="B11" s="54"/>
      <c r="C11" s="56"/>
      <c r="D11" s="56"/>
      <c r="E11" s="56">
        <f t="shared" si="0"/>
        <v>0</v>
      </c>
      <c r="F11" s="77"/>
      <c r="G11" s="76"/>
      <c r="H11" s="54"/>
    </row>
    <row r="12" spans="1:8">
      <c r="A12" s="74"/>
      <c r="B12" s="54"/>
      <c r="C12" s="56"/>
      <c r="D12" s="56"/>
      <c r="E12" s="56">
        <f t="shared" si="0"/>
        <v>0</v>
      </c>
      <c r="F12" s="77"/>
      <c r="G12" s="76"/>
      <c r="H12" s="54"/>
    </row>
    <row r="13" spans="1:8">
      <c r="A13" s="74"/>
      <c r="B13" s="54"/>
      <c r="C13" s="56"/>
      <c r="D13" s="56"/>
      <c r="E13" s="56">
        <f t="shared" si="0"/>
        <v>0</v>
      </c>
      <c r="F13" s="77"/>
      <c r="G13" s="76"/>
      <c r="H13" s="54"/>
    </row>
    <row r="14" spans="1:8">
      <c r="A14" s="74"/>
      <c r="B14" s="54"/>
      <c r="C14" s="56"/>
      <c r="D14" s="56"/>
      <c r="E14" s="56">
        <f t="shared" si="0"/>
        <v>0</v>
      </c>
      <c r="F14" s="75"/>
      <c r="G14" s="76"/>
      <c r="H14" s="54"/>
    </row>
    <row r="15" spans="1:8">
      <c r="A15" s="74"/>
      <c r="B15" s="54"/>
      <c r="C15" s="56"/>
      <c r="D15" s="56"/>
      <c r="E15" s="56">
        <f t="shared" si="0"/>
        <v>0</v>
      </c>
      <c r="F15" s="77"/>
      <c r="G15" s="76"/>
      <c r="H15" s="54"/>
    </row>
    <row r="16" spans="1:8">
      <c r="A16" s="74"/>
      <c r="B16" s="54"/>
      <c r="C16" s="56"/>
      <c r="D16" s="56"/>
      <c r="E16" s="56">
        <f t="shared" si="0"/>
        <v>0</v>
      </c>
      <c r="F16" s="77"/>
      <c r="G16" s="76"/>
      <c r="H16" s="54"/>
    </row>
    <row r="17" spans="1:8">
      <c r="A17" s="74"/>
      <c r="B17" s="54"/>
      <c r="C17" s="56"/>
      <c r="D17" s="56"/>
      <c r="E17" s="56">
        <f t="shared" si="0"/>
        <v>0</v>
      </c>
      <c r="F17" s="77"/>
      <c r="G17" s="76"/>
      <c r="H17" s="54"/>
    </row>
    <row r="18" spans="1:8">
      <c r="A18" s="74"/>
      <c r="B18" s="54"/>
      <c r="C18" s="56"/>
      <c r="D18" s="56"/>
      <c r="E18" s="56">
        <f t="shared" si="0"/>
        <v>0</v>
      </c>
      <c r="F18" s="77"/>
      <c r="G18" s="76"/>
      <c r="H18" s="54"/>
    </row>
    <row r="19" spans="1:8">
      <c r="A19" s="74"/>
      <c r="B19" s="54"/>
      <c r="C19" s="56"/>
      <c r="D19" s="56"/>
      <c r="E19" s="56">
        <f t="shared" si="0"/>
        <v>0</v>
      </c>
      <c r="F19" s="77"/>
      <c r="G19" s="76"/>
      <c r="H19" s="54"/>
    </row>
    <row r="20" spans="1:8">
      <c r="A20" s="74"/>
      <c r="B20" s="54"/>
      <c r="C20" s="56"/>
      <c r="D20" s="56"/>
      <c r="E20" s="56">
        <f t="shared" si="0"/>
        <v>0</v>
      </c>
      <c r="F20" s="77"/>
      <c r="G20" s="76"/>
      <c r="H20" s="54"/>
    </row>
    <row r="21" spans="1:8">
      <c r="A21" s="74"/>
      <c r="B21" s="54"/>
      <c r="C21" s="56"/>
      <c r="D21" s="56"/>
      <c r="E21" s="56">
        <f t="shared" si="0"/>
        <v>0</v>
      </c>
      <c r="F21" s="77"/>
      <c r="G21" s="76"/>
      <c r="H21" s="54"/>
    </row>
    <row r="22" spans="1:8">
      <c r="A22" s="74"/>
      <c r="B22" s="54"/>
      <c r="C22" s="56"/>
      <c r="D22" s="56"/>
      <c r="E22" s="56">
        <f t="shared" si="0"/>
        <v>0</v>
      </c>
      <c r="F22" s="77"/>
      <c r="G22" s="76"/>
      <c r="H22" s="54"/>
    </row>
    <row r="23" spans="1:8">
      <c r="A23" s="74"/>
      <c r="B23" s="54"/>
      <c r="C23" s="56"/>
      <c r="D23" s="56"/>
      <c r="E23" s="56">
        <f t="shared" si="0"/>
        <v>0</v>
      </c>
      <c r="F23" s="77"/>
      <c r="G23" s="76"/>
      <c r="H23" s="54"/>
    </row>
    <row r="24" spans="1:8">
      <c r="A24" s="74"/>
      <c r="B24" s="54"/>
      <c r="C24" s="56"/>
      <c r="D24" s="56"/>
      <c r="E24" s="56">
        <f t="shared" si="0"/>
        <v>0</v>
      </c>
      <c r="F24" s="77"/>
      <c r="G24" s="76"/>
      <c r="H24" s="54"/>
    </row>
    <row r="25" spans="1:8">
      <c r="A25" s="74"/>
      <c r="B25" s="54"/>
      <c r="C25" s="56"/>
      <c r="D25" s="56"/>
      <c r="E25" s="56">
        <f t="shared" si="0"/>
        <v>0</v>
      </c>
      <c r="F25" s="77"/>
      <c r="G25" s="76"/>
      <c r="H25" s="54"/>
    </row>
    <row r="26" spans="1:8">
      <c r="A26" s="74"/>
      <c r="B26" s="54"/>
      <c r="C26" s="56"/>
      <c r="D26" s="56"/>
      <c r="E26" s="56">
        <f t="shared" si="0"/>
        <v>0</v>
      </c>
      <c r="F26" s="77"/>
      <c r="G26" s="76"/>
      <c r="H26" s="54"/>
    </row>
    <row r="27" spans="1:8">
      <c r="A27" s="74"/>
      <c r="B27" s="54"/>
      <c r="C27" s="56"/>
      <c r="D27" s="56"/>
      <c r="E27" s="56">
        <f t="shared" si="0"/>
        <v>0</v>
      </c>
      <c r="F27" s="77"/>
      <c r="G27" s="76"/>
      <c r="H27" s="54"/>
    </row>
    <row r="28" spans="1:8">
      <c r="A28" s="74"/>
      <c r="B28" s="54"/>
      <c r="C28" s="56"/>
      <c r="D28" s="56"/>
      <c r="E28" s="56">
        <f t="shared" si="0"/>
        <v>0</v>
      </c>
      <c r="F28" s="77"/>
      <c r="G28" s="76"/>
      <c r="H28" s="54"/>
    </row>
    <row r="29" spans="1:8">
      <c r="A29" s="74"/>
      <c r="B29" s="54"/>
      <c r="C29" s="56"/>
      <c r="D29" s="56"/>
      <c r="E29" s="56">
        <f t="shared" si="0"/>
        <v>0</v>
      </c>
      <c r="F29" s="78"/>
      <c r="G29" s="54"/>
      <c r="H29" s="54"/>
    </row>
    <row r="30" spans="1:8">
      <c r="A30" s="74"/>
      <c r="B30" s="54"/>
      <c r="C30" s="56"/>
      <c r="D30" s="56"/>
      <c r="E30" s="56">
        <f t="shared" si="0"/>
        <v>0</v>
      </c>
      <c r="F30" s="77"/>
      <c r="G30" s="76"/>
      <c r="H30" s="54"/>
    </row>
    <row r="31" spans="1:8">
      <c r="A31" s="74"/>
      <c r="B31" s="54"/>
      <c r="C31" s="56"/>
      <c r="D31" s="56"/>
      <c r="E31" s="56">
        <f t="shared" si="0"/>
        <v>0</v>
      </c>
      <c r="F31" s="78"/>
      <c r="G31" s="54"/>
      <c r="H31" s="54"/>
    </row>
    <row r="32" spans="1:8">
      <c r="A32" s="74"/>
      <c r="B32" s="54"/>
      <c r="C32" s="56"/>
      <c r="D32" s="56"/>
      <c r="E32" s="56">
        <f t="shared" si="0"/>
        <v>0</v>
      </c>
      <c r="F32" s="78"/>
      <c r="G32" s="79"/>
      <c r="H32" s="54"/>
    </row>
    <row r="33" spans="1:8">
      <c r="A33" s="74"/>
      <c r="B33" s="54"/>
      <c r="C33" s="56"/>
      <c r="D33" s="56"/>
      <c r="E33" s="56">
        <f t="shared" si="0"/>
        <v>0</v>
      </c>
      <c r="F33" s="78"/>
      <c r="G33" s="79"/>
      <c r="H33" s="54"/>
    </row>
    <row r="34" spans="1:8">
      <c r="A34" s="74"/>
      <c r="B34" s="54"/>
      <c r="C34" s="56"/>
      <c r="D34" s="56"/>
      <c r="E34" s="56">
        <f t="shared" si="0"/>
        <v>0</v>
      </c>
      <c r="F34" s="78"/>
      <c r="G34" s="54"/>
      <c r="H34" s="54"/>
    </row>
    <row r="35" spans="1:8">
      <c r="A35" s="74"/>
      <c r="B35" s="54"/>
      <c r="C35" s="56"/>
      <c r="D35" s="56"/>
      <c r="E35" s="56">
        <f t="shared" si="0"/>
        <v>0</v>
      </c>
      <c r="F35" s="77"/>
      <c r="G35" s="76"/>
      <c r="H35" s="54"/>
    </row>
    <row r="36" spans="1:8">
      <c r="A36" s="74"/>
      <c r="B36" s="54"/>
      <c r="C36" s="56"/>
      <c r="D36" s="56"/>
      <c r="E36" s="56">
        <f t="shared" si="0"/>
        <v>0</v>
      </c>
      <c r="F36" s="77"/>
      <c r="G36" s="76"/>
      <c r="H36" s="54"/>
    </row>
    <row r="37" spans="1:8">
      <c r="A37" s="74"/>
      <c r="B37" s="54"/>
      <c r="C37" s="56"/>
      <c r="D37" s="56"/>
      <c r="E37" s="56">
        <f t="shared" si="0"/>
        <v>0</v>
      </c>
      <c r="F37" s="77"/>
      <c r="G37" s="76"/>
      <c r="H37" s="54"/>
    </row>
    <row r="38" spans="1:8">
      <c r="A38" s="74"/>
      <c r="B38" s="54"/>
      <c r="C38" s="56"/>
      <c r="D38" s="56"/>
      <c r="E38" s="56">
        <f t="shared" si="0"/>
        <v>0</v>
      </c>
      <c r="F38" s="78"/>
      <c r="G38" s="54"/>
      <c r="H38" s="54"/>
    </row>
    <row r="39" spans="1:8">
      <c r="A39" s="74"/>
      <c r="B39" s="54"/>
      <c r="C39" s="56"/>
      <c r="D39" s="56"/>
      <c r="E39" s="56">
        <f t="shared" si="0"/>
        <v>0</v>
      </c>
      <c r="F39" s="78"/>
      <c r="G39" s="80"/>
      <c r="H39" s="54"/>
    </row>
    <row r="40" spans="1:8">
      <c r="A40" s="74"/>
      <c r="B40" s="54"/>
      <c r="C40" s="56"/>
      <c r="D40" s="56"/>
      <c r="E40" s="56">
        <f t="shared" si="0"/>
        <v>0</v>
      </c>
      <c r="F40" s="77"/>
      <c r="G40" s="76"/>
      <c r="H40" s="54"/>
    </row>
    <row r="41" spans="1:8">
      <c r="A41" s="74"/>
      <c r="B41" s="54"/>
      <c r="C41" s="56"/>
      <c r="D41" s="56"/>
      <c r="E41" s="56">
        <f t="shared" si="0"/>
        <v>0</v>
      </c>
      <c r="F41" s="77"/>
      <c r="G41" s="76"/>
      <c r="H41" s="54"/>
    </row>
    <row r="42" spans="1:8">
      <c r="A42" s="74"/>
      <c r="B42" s="54"/>
      <c r="C42" s="56"/>
      <c r="D42" s="56"/>
      <c r="E42" s="56">
        <f t="shared" si="0"/>
        <v>0</v>
      </c>
      <c r="F42" s="77"/>
      <c r="G42" s="76"/>
      <c r="H42" s="54"/>
    </row>
    <row r="43" spans="1:8">
      <c r="A43" s="74"/>
      <c r="B43" s="54"/>
      <c r="C43" s="56"/>
      <c r="D43" s="56"/>
      <c r="E43" s="56">
        <f t="shared" si="0"/>
        <v>0</v>
      </c>
      <c r="F43" s="77"/>
      <c r="G43" s="76"/>
      <c r="H43" s="54"/>
    </row>
    <row r="44" spans="1:8">
      <c r="A44" s="74"/>
      <c r="B44" s="54"/>
      <c r="C44" s="56"/>
      <c r="D44" s="56"/>
      <c r="E44" s="56">
        <f t="shared" si="0"/>
        <v>0</v>
      </c>
      <c r="F44" s="77"/>
      <c r="G44" s="76"/>
      <c r="H44" s="54"/>
    </row>
    <row r="45" spans="1:8">
      <c r="A45" s="74"/>
      <c r="B45" s="54"/>
      <c r="C45" s="56"/>
      <c r="D45" s="56"/>
      <c r="E45" s="56">
        <f t="shared" si="0"/>
        <v>0</v>
      </c>
      <c r="F45" s="77"/>
      <c r="G45" s="76"/>
      <c r="H45" s="54"/>
    </row>
    <row r="46" spans="1:8">
      <c r="A46" s="74"/>
      <c r="B46" s="54"/>
      <c r="C46" s="56"/>
      <c r="D46" s="56"/>
      <c r="E46" s="56">
        <f t="shared" si="0"/>
        <v>0</v>
      </c>
      <c r="F46" s="77"/>
      <c r="G46" s="76"/>
      <c r="H46" s="54"/>
    </row>
    <row r="47" spans="1:8">
      <c r="A47" s="74"/>
      <c r="B47" s="54"/>
      <c r="C47" s="56"/>
      <c r="D47" s="56"/>
      <c r="E47" s="56">
        <f t="shared" si="0"/>
        <v>0</v>
      </c>
      <c r="F47" s="77"/>
      <c r="G47" s="76"/>
      <c r="H47" s="54"/>
    </row>
    <row r="48" spans="1:8">
      <c r="A48" s="74"/>
      <c r="B48" s="54"/>
      <c r="C48" s="56"/>
      <c r="D48" s="56"/>
      <c r="E48" s="56">
        <f t="shared" si="0"/>
        <v>0</v>
      </c>
      <c r="F48" s="77"/>
      <c r="G48" s="76"/>
      <c r="H48" s="54"/>
    </row>
    <row r="49" spans="1:8">
      <c r="A49" s="74"/>
      <c r="B49" s="54"/>
      <c r="C49" s="56"/>
      <c r="D49" s="56"/>
      <c r="E49" s="56">
        <f t="shared" si="0"/>
        <v>0</v>
      </c>
      <c r="F49" s="78"/>
      <c r="G49" s="54"/>
      <c r="H49" s="54"/>
    </row>
    <row r="50" spans="1:8">
      <c r="A50" s="74"/>
      <c r="B50" s="54"/>
      <c r="C50" s="56"/>
      <c r="D50" s="56"/>
      <c r="E50" s="56">
        <f t="shared" si="0"/>
        <v>0</v>
      </c>
      <c r="F50" s="77"/>
      <c r="G50" s="76"/>
      <c r="H50" s="54"/>
    </row>
    <row r="51" spans="1:8">
      <c r="A51" s="74"/>
      <c r="B51" s="54"/>
      <c r="C51" s="56"/>
      <c r="D51" s="56"/>
      <c r="E51" s="56">
        <f t="shared" si="0"/>
        <v>0</v>
      </c>
      <c r="F51" s="77"/>
      <c r="G51" s="76"/>
      <c r="H51" s="54"/>
    </row>
    <row r="52" spans="1:8">
      <c r="A52" s="74"/>
      <c r="B52" s="54"/>
      <c r="C52" s="56"/>
      <c r="D52" s="56"/>
      <c r="E52" s="56">
        <f t="shared" si="0"/>
        <v>0</v>
      </c>
      <c r="F52" s="77"/>
      <c r="G52" s="76"/>
      <c r="H52" s="54"/>
    </row>
    <row r="53" spans="1:8">
      <c r="A53" s="74"/>
      <c r="B53" s="54"/>
      <c r="C53" s="56"/>
      <c r="D53" s="56"/>
      <c r="E53" s="56">
        <f t="shared" si="0"/>
        <v>0</v>
      </c>
      <c r="F53" s="77"/>
      <c r="G53" s="76"/>
      <c r="H53" s="54"/>
    </row>
    <row r="54" spans="1:8">
      <c r="A54" s="74"/>
      <c r="B54" s="54"/>
      <c r="C54" s="56"/>
      <c r="D54" s="56"/>
      <c r="E54" s="56">
        <f t="shared" si="0"/>
        <v>0</v>
      </c>
      <c r="F54" s="77"/>
      <c r="G54" s="76"/>
      <c r="H54" s="54"/>
    </row>
    <row r="55" spans="1:8">
      <c r="A55" s="74"/>
      <c r="B55" s="54"/>
      <c r="C55" s="56"/>
      <c r="D55" s="56"/>
      <c r="E55" s="56">
        <f t="shared" si="0"/>
        <v>0</v>
      </c>
      <c r="F55" s="77"/>
      <c r="G55" s="76"/>
      <c r="H55" s="54"/>
    </row>
    <row r="56" spans="1:8">
      <c r="A56" s="74"/>
      <c r="B56" s="54"/>
      <c r="C56" s="56"/>
      <c r="D56" s="56"/>
      <c r="E56" s="56">
        <f t="shared" si="0"/>
        <v>0</v>
      </c>
      <c r="F56" s="77"/>
      <c r="G56" s="76"/>
      <c r="H56" s="54"/>
    </row>
    <row r="57" spans="1:8">
      <c r="A57" s="74"/>
      <c r="B57" s="54"/>
      <c r="C57" s="56"/>
      <c r="D57" s="56"/>
      <c r="E57" s="56">
        <f t="shared" si="0"/>
        <v>0</v>
      </c>
      <c r="F57" s="77"/>
      <c r="G57" s="76"/>
      <c r="H57" s="54"/>
    </row>
    <row r="58" spans="1:8">
      <c r="A58" s="73"/>
      <c r="B58" s="54"/>
      <c r="C58" s="56"/>
      <c r="D58" s="56"/>
      <c r="E58" s="56">
        <f t="shared" si="0"/>
        <v>0</v>
      </c>
      <c r="F58" s="77"/>
      <c r="G58" s="76"/>
      <c r="H58" s="54"/>
    </row>
    <row r="59" spans="1:8">
      <c r="A59" s="73"/>
      <c r="B59" s="54"/>
      <c r="C59" s="56"/>
      <c r="D59" s="56"/>
      <c r="E59" s="56">
        <f t="shared" si="0"/>
        <v>0</v>
      </c>
      <c r="F59" s="77"/>
      <c r="G59" s="76"/>
      <c r="H59" s="54"/>
    </row>
    <row r="60" spans="1:8" s="71" customFormat="1">
      <c r="A60" s="73"/>
      <c r="B60" s="54"/>
      <c r="C60" s="56"/>
      <c r="D60" s="56"/>
      <c r="E60" s="56">
        <f t="shared" si="0"/>
        <v>0</v>
      </c>
      <c r="F60" s="77"/>
      <c r="G60" s="76"/>
      <c r="H60" s="54"/>
    </row>
    <row r="61" spans="1:8" s="71" customFormat="1">
      <c r="A61" s="73"/>
      <c r="B61" s="54"/>
      <c r="C61" s="56"/>
      <c r="D61" s="56"/>
      <c r="E61" s="56">
        <f t="shared" si="0"/>
        <v>0</v>
      </c>
      <c r="F61" s="77"/>
      <c r="G61" s="76"/>
      <c r="H61" s="54"/>
    </row>
    <row r="62" spans="1:8" s="71" customFormat="1">
      <c r="A62" s="73"/>
      <c r="B62" s="54"/>
      <c r="C62" s="56"/>
      <c r="D62" s="56"/>
      <c r="E62" s="56">
        <f t="shared" si="0"/>
        <v>0</v>
      </c>
      <c r="F62" s="77"/>
      <c r="G62" s="76"/>
      <c r="H62" s="54"/>
    </row>
    <row r="63" spans="1:8" s="71" customFormat="1">
      <c r="A63" s="73"/>
      <c r="B63" s="54"/>
      <c r="C63" s="56"/>
      <c r="D63" s="56"/>
      <c r="E63" s="56">
        <f t="shared" si="0"/>
        <v>0</v>
      </c>
      <c r="F63" s="77"/>
      <c r="G63" s="76"/>
      <c r="H63" s="54"/>
    </row>
    <row r="64" spans="1:8" s="71" customFormat="1">
      <c r="A64" s="73"/>
      <c r="B64" s="54"/>
      <c r="C64" s="56"/>
      <c r="D64" s="56"/>
      <c r="E64" s="56">
        <f t="shared" si="0"/>
        <v>0</v>
      </c>
      <c r="F64" s="77"/>
      <c r="G64" s="76"/>
      <c r="H64" s="54"/>
    </row>
    <row r="65" spans="1:8" s="71" customFormat="1">
      <c r="A65" s="73"/>
      <c r="B65" s="54"/>
      <c r="C65" s="56"/>
      <c r="D65" s="56"/>
      <c r="E65" s="56">
        <f t="shared" si="0"/>
        <v>0</v>
      </c>
      <c r="F65" s="77"/>
      <c r="G65" s="76"/>
      <c r="H65" s="54"/>
    </row>
    <row r="66" spans="1:8" s="71" customFormat="1">
      <c r="A66" s="73"/>
      <c r="B66" s="54"/>
      <c r="C66" s="56"/>
      <c r="D66" s="56"/>
      <c r="E66" s="56">
        <f t="shared" si="0"/>
        <v>0</v>
      </c>
      <c r="F66" s="77"/>
      <c r="G66" s="76"/>
      <c r="H66" s="54"/>
    </row>
    <row r="67" spans="1:8" s="71" customFormat="1">
      <c r="A67" s="73"/>
      <c r="B67" s="54"/>
      <c r="C67" s="56"/>
      <c r="D67" s="56"/>
      <c r="E67" s="56">
        <f t="shared" si="0"/>
        <v>0</v>
      </c>
      <c r="F67" s="77"/>
      <c r="G67" s="76"/>
      <c r="H67" s="54"/>
    </row>
    <row r="68" spans="1:8" s="71" customFormat="1">
      <c r="A68" s="73"/>
      <c r="B68" s="54"/>
      <c r="C68" s="56"/>
      <c r="D68" s="56"/>
      <c r="E68" s="56">
        <f t="shared" si="0"/>
        <v>0</v>
      </c>
      <c r="F68" s="77"/>
      <c r="G68" s="76"/>
      <c r="H68" s="54"/>
    </row>
    <row r="69" spans="1:8" s="71" customFormat="1">
      <c r="A69" s="73"/>
      <c r="B69" s="54"/>
      <c r="C69" s="56"/>
      <c r="D69" s="56"/>
      <c r="E69" s="56">
        <f t="shared" si="0"/>
        <v>0</v>
      </c>
      <c r="F69" s="77"/>
      <c r="G69" s="76"/>
      <c r="H69" s="54"/>
    </row>
    <row r="70" spans="1:8">
      <c r="A70" s="73"/>
      <c r="B70" s="54"/>
      <c r="C70" s="56"/>
      <c r="D70" s="56"/>
      <c r="E70" s="56">
        <f t="shared" si="0"/>
        <v>0</v>
      </c>
      <c r="F70" s="75"/>
      <c r="G70" s="76"/>
      <c r="H70" s="54"/>
    </row>
    <row r="71" spans="1:8">
      <c r="A71" s="74"/>
      <c r="B71" s="54"/>
      <c r="C71" s="56"/>
      <c r="D71" s="56"/>
      <c r="E71" s="56">
        <f t="shared" si="0"/>
        <v>0</v>
      </c>
      <c r="F71" s="77"/>
      <c r="G71" s="76"/>
      <c r="H71" s="54"/>
    </row>
    <row r="72" spans="1:8">
      <c r="A72" s="74"/>
      <c r="B72" s="54"/>
      <c r="C72" s="56"/>
      <c r="D72" s="56"/>
      <c r="E72" s="56">
        <f t="shared" ref="E72:E135" si="1">E71-C72+D72</f>
        <v>0</v>
      </c>
      <c r="F72" s="77"/>
      <c r="G72" s="76"/>
      <c r="H72" s="54"/>
    </row>
    <row r="73" spans="1:8" s="72" customFormat="1">
      <c r="A73" s="74"/>
      <c r="B73" s="54"/>
      <c r="C73" s="56"/>
      <c r="D73" s="56"/>
      <c r="E73" s="56">
        <f t="shared" si="1"/>
        <v>0</v>
      </c>
      <c r="F73" s="77"/>
      <c r="G73" s="76"/>
      <c r="H73" s="54"/>
    </row>
    <row r="74" spans="1:8">
      <c r="A74" s="74"/>
      <c r="B74" s="54"/>
      <c r="C74" s="56"/>
      <c r="D74" s="56"/>
      <c r="E74" s="56">
        <f t="shared" si="1"/>
        <v>0</v>
      </c>
      <c r="F74" s="77"/>
      <c r="G74" s="76"/>
      <c r="H74" s="54"/>
    </row>
    <row r="75" spans="1:8">
      <c r="A75" s="74"/>
      <c r="B75" s="54"/>
      <c r="C75" s="56"/>
      <c r="D75" s="56"/>
      <c r="E75" s="56">
        <f t="shared" si="1"/>
        <v>0</v>
      </c>
      <c r="F75" s="77"/>
      <c r="G75" s="76"/>
      <c r="H75" s="54"/>
    </row>
    <row r="76" spans="1:8">
      <c r="A76" s="74"/>
      <c r="B76" s="54"/>
      <c r="C76" s="56"/>
      <c r="D76" s="56"/>
      <c r="E76" s="56">
        <f t="shared" si="1"/>
        <v>0</v>
      </c>
      <c r="F76" s="77"/>
      <c r="G76" s="76"/>
      <c r="H76" s="54"/>
    </row>
    <row r="77" spans="1:8">
      <c r="A77" s="74"/>
      <c r="B77" s="54"/>
      <c r="C77" s="56"/>
      <c r="D77" s="56"/>
      <c r="E77" s="56">
        <f t="shared" si="1"/>
        <v>0</v>
      </c>
      <c r="F77" s="77"/>
      <c r="G77" s="76"/>
      <c r="H77" s="54"/>
    </row>
    <row r="78" spans="1:8">
      <c r="A78" s="74"/>
      <c r="B78" s="54"/>
      <c r="C78" s="56"/>
      <c r="D78" s="56"/>
      <c r="E78" s="56">
        <f t="shared" si="1"/>
        <v>0</v>
      </c>
      <c r="F78" s="77"/>
      <c r="G78" s="76"/>
      <c r="H78" s="54"/>
    </row>
    <row r="79" spans="1:8">
      <c r="A79" s="74"/>
      <c r="B79" s="54"/>
      <c r="C79" s="56"/>
      <c r="D79" s="56"/>
      <c r="E79" s="56">
        <f t="shared" si="1"/>
        <v>0</v>
      </c>
      <c r="F79" s="77"/>
      <c r="G79" s="76"/>
      <c r="H79" s="54"/>
    </row>
    <row r="80" spans="1:8">
      <c r="A80" s="74"/>
      <c r="B80" s="54"/>
      <c r="C80" s="56"/>
      <c r="D80" s="56"/>
      <c r="E80" s="56">
        <f t="shared" si="1"/>
        <v>0</v>
      </c>
      <c r="F80" s="77"/>
      <c r="G80" s="76"/>
      <c r="H80" s="54"/>
    </row>
    <row r="81" spans="1:8">
      <c r="A81" s="74"/>
      <c r="B81" s="54"/>
      <c r="C81" s="56"/>
      <c r="D81" s="56"/>
      <c r="E81" s="56">
        <f t="shared" si="1"/>
        <v>0</v>
      </c>
      <c r="F81" s="77"/>
      <c r="G81" s="76"/>
      <c r="H81" s="54"/>
    </row>
    <row r="82" spans="1:8">
      <c r="A82" s="74"/>
      <c r="B82" s="54"/>
      <c r="C82" s="56"/>
      <c r="D82" s="56"/>
      <c r="E82" s="56">
        <f t="shared" si="1"/>
        <v>0</v>
      </c>
      <c r="F82" s="77"/>
      <c r="G82" s="76"/>
      <c r="H82" s="54"/>
    </row>
    <row r="83" spans="1:8">
      <c r="A83" s="74"/>
      <c r="B83" s="54"/>
      <c r="C83" s="56"/>
      <c r="D83" s="56"/>
      <c r="E83" s="56">
        <f t="shared" si="1"/>
        <v>0</v>
      </c>
      <c r="F83" s="77"/>
      <c r="G83" s="76"/>
      <c r="H83" s="54"/>
    </row>
    <row r="84" spans="1:8">
      <c r="A84" s="74"/>
      <c r="B84" s="54"/>
      <c r="C84" s="56"/>
      <c r="D84" s="56"/>
      <c r="E84" s="56">
        <f t="shared" si="1"/>
        <v>0</v>
      </c>
      <c r="F84" s="77"/>
      <c r="G84" s="76"/>
      <c r="H84" s="54"/>
    </row>
    <row r="85" spans="1:8">
      <c r="A85" s="74"/>
      <c r="B85" s="54"/>
      <c r="C85" s="56"/>
      <c r="D85" s="56"/>
      <c r="E85" s="56">
        <f t="shared" si="1"/>
        <v>0</v>
      </c>
      <c r="F85" s="77"/>
      <c r="G85" s="76"/>
      <c r="H85" s="54"/>
    </row>
    <row r="86" spans="1:8">
      <c r="A86" s="74"/>
      <c r="B86" s="54"/>
      <c r="C86" s="56"/>
      <c r="D86" s="56"/>
      <c r="E86" s="56">
        <f t="shared" si="1"/>
        <v>0</v>
      </c>
      <c r="F86" s="77"/>
      <c r="G86" s="76"/>
      <c r="H86" s="54"/>
    </row>
    <row r="87" spans="1:8">
      <c r="A87" s="74"/>
      <c r="B87" s="54"/>
      <c r="C87" s="56"/>
      <c r="D87" s="56"/>
      <c r="E87" s="56">
        <f t="shared" si="1"/>
        <v>0</v>
      </c>
      <c r="F87" s="77"/>
      <c r="G87" s="76"/>
      <c r="H87" s="54"/>
    </row>
    <row r="88" spans="1:8">
      <c r="A88" s="74"/>
      <c r="B88" s="54"/>
      <c r="C88" s="56"/>
      <c r="D88" s="56"/>
      <c r="E88" s="56">
        <f t="shared" si="1"/>
        <v>0</v>
      </c>
      <c r="F88" s="77"/>
      <c r="G88" s="76"/>
      <c r="H88" s="54"/>
    </row>
    <row r="89" spans="1:8">
      <c r="A89" s="74"/>
      <c r="B89" s="54"/>
      <c r="C89" s="56"/>
      <c r="D89" s="56"/>
      <c r="E89" s="56">
        <f t="shared" si="1"/>
        <v>0</v>
      </c>
      <c r="F89" s="77"/>
      <c r="G89" s="76"/>
      <c r="H89" s="54"/>
    </row>
    <row r="90" spans="1:8">
      <c r="A90" s="74"/>
      <c r="B90" s="54"/>
      <c r="C90" s="56"/>
      <c r="D90" s="56"/>
      <c r="E90" s="56">
        <f t="shared" si="1"/>
        <v>0</v>
      </c>
      <c r="F90" s="77"/>
      <c r="G90" s="76"/>
      <c r="H90" s="54"/>
    </row>
    <row r="91" spans="1:8">
      <c r="A91" s="74"/>
      <c r="B91" s="54"/>
      <c r="C91" s="56"/>
      <c r="D91" s="56"/>
      <c r="E91" s="56">
        <f t="shared" si="1"/>
        <v>0</v>
      </c>
      <c r="F91" s="77"/>
      <c r="G91" s="76"/>
      <c r="H91" s="54"/>
    </row>
    <row r="92" spans="1:8">
      <c r="A92" s="74"/>
      <c r="B92" s="54"/>
      <c r="C92" s="56"/>
      <c r="D92" s="56"/>
      <c r="E92" s="56">
        <f t="shared" si="1"/>
        <v>0</v>
      </c>
      <c r="F92" s="77"/>
      <c r="G92" s="76"/>
      <c r="H92" s="54"/>
    </row>
    <row r="93" spans="1:8">
      <c r="A93" s="74"/>
      <c r="B93" s="54"/>
      <c r="C93" s="56"/>
      <c r="D93" s="56"/>
      <c r="E93" s="56">
        <f t="shared" si="1"/>
        <v>0</v>
      </c>
      <c r="F93" s="78"/>
      <c r="G93" s="76"/>
      <c r="H93" s="54"/>
    </row>
    <row r="94" spans="1:8">
      <c r="A94" s="74"/>
      <c r="B94" s="54"/>
      <c r="C94" s="56"/>
      <c r="D94" s="56"/>
      <c r="E94" s="56">
        <f t="shared" si="1"/>
        <v>0</v>
      </c>
      <c r="F94" s="77"/>
      <c r="G94" s="81"/>
      <c r="H94" s="54"/>
    </row>
    <row r="95" spans="1:8">
      <c r="A95" s="74"/>
      <c r="B95" s="54"/>
      <c r="C95" s="56"/>
      <c r="D95" s="56"/>
      <c r="E95" s="56">
        <f t="shared" si="1"/>
        <v>0</v>
      </c>
      <c r="F95" s="77"/>
      <c r="G95" s="76"/>
      <c r="H95" s="54"/>
    </row>
    <row r="96" spans="1:8">
      <c r="A96" s="74"/>
      <c r="B96" s="54"/>
      <c r="C96" s="56"/>
      <c r="D96" s="56"/>
      <c r="E96" s="56">
        <f t="shared" si="1"/>
        <v>0</v>
      </c>
      <c r="F96" s="77"/>
      <c r="G96" s="76"/>
      <c r="H96" s="54"/>
    </row>
    <row r="97" spans="1:8">
      <c r="A97" s="74"/>
      <c r="B97" s="54"/>
      <c r="C97" s="56"/>
      <c r="D97" s="56"/>
      <c r="E97" s="56">
        <f t="shared" si="1"/>
        <v>0</v>
      </c>
      <c r="F97" s="77"/>
      <c r="G97" s="69"/>
      <c r="H97" s="82"/>
    </row>
    <row r="98" spans="1:8">
      <c r="A98" s="74"/>
      <c r="B98" s="54"/>
      <c r="C98" s="56"/>
      <c r="D98" s="56"/>
      <c r="E98" s="56">
        <f t="shared" si="1"/>
        <v>0</v>
      </c>
      <c r="F98" s="77"/>
      <c r="G98" s="76"/>
      <c r="H98" s="82"/>
    </row>
    <row r="99" spans="1:8">
      <c r="A99" s="74"/>
      <c r="B99" s="54"/>
      <c r="C99" s="56"/>
      <c r="D99" s="56"/>
      <c r="E99" s="56">
        <f t="shared" si="1"/>
        <v>0</v>
      </c>
      <c r="F99" s="77"/>
      <c r="G99" s="76"/>
      <c r="H99" s="54"/>
    </row>
    <row r="100" spans="1:8" s="71" customFormat="1">
      <c r="A100" s="74"/>
      <c r="B100" s="54"/>
      <c r="C100" s="56"/>
      <c r="D100" s="56"/>
      <c r="E100" s="56">
        <f t="shared" si="1"/>
        <v>0</v>
      </c>
      <c r="F100" s="77"/>
      <c r="G100" s="69"/>
      <c r="H100" s="82"/>
    </row>
    <row r="101" spans="1:8">
      <c r="A101" s="74"/>
      <c r="B101" s="54"/>
      <c r="C101" s="56"/>
      <c r="D101" s="56"/>
      <c r="E101" s="56">
        <f t="shared" si="1"/>
        <v>0</v>
      </c>
      <c r="F101" s="77"/>
      <c r="G101" s="76"/>
      <c r="H101" s="54"/>
    </row>
    <row r="102" spans="1:8">
      <c r="A102" s="74"/>
      <c r="B102" s="54"/>
      <c r="C102" s="56"/>
      <c r="D102" s="56"/>
      <c r="E102" s="56">
        <f t="shared" si="1"/>
        <v>0</v>
      </c>
      <c r="F102" s="77"/>
      <c r="G102" s="76"/>
      <c r="H102" s="54"/>
    </row>
    <row r="103" spans="1:8" s="71" customFormat="1">
      <c r="A103" s="74"/>
      <c r="B103" s="54"/>
      <c r="C103" s="56"/>
      <c r="D103" s="56"/>
      <c r="E103" s="56">
        <f t="shared" si="1"/>
        <v>0</v>
      </c>
      <c r="F103" s="77"/>
      <c r="G103" s="69"/>
      <c r="H103" s="82"/>
    </row>
    <row r="104" spans="1:8">
      <c r="A104" s="74"/>
      <c r="B104" s="54"/>
      <c r="C104" s="56"/>
      <c r="D104" s="56"/>
      <c r="E104" s="56">
        <f t="shared" si="1"/>
        <v>0</v>
      </c>
      <c r="F104" s="77"/>
      <c r="G104" s="76"/>
      <c r="H104" s="54"/>
    </row>
    <row r="105" spans="1:8">
      <c r="A105" s="74"/>
      <c r="B105" s="54"/>
      <c r="C105" s="56"/>
      <c r="D105" s="56"/>
      <c r="E105" s="56">
        <f t="shared" si="1"/>
        <v>0</v>
      </c>
      <c r="F105" s="77"/>
      <c r="G105" s="76"/>
      <c r="H105" s="54"/>
    </row>
    <row r="106" spans="1:8">
      <c r="A106" s="74"/>
      <c r="B106" s="54"/>
      <c r="C106" s="56"/>
      <c r="D106" s="56"/>
      <c r="E106" s="56">
        <f t="shared" si="1"/>
        <v>0</v>
      </c>
      <c r="F106" s="77"/>
      <c r="G106" s="76"/>
      <c r="H106" s="54"/>
    </row>
    <row r="107" spans="1:8" s="71" customFormat="1">
      <c r="A107" s="74"/>
      <c r="B107" s="54"/>
      <c r="C107" s="56"/>
      <c r="D107" s="56"/>
      <c r="E107" s="56">
        <f t="shared" si="1"/>
        <v>0</v>
      </c>
      <c r="F107" s="77"/>
      <c r="G107" s="76"/>
      <c r="H107" s="54"/>
    </row>
    <row r="108" spans="1:8" s="71" customFormat="1">
      <c r="A108" s="74"/>
      <c r="B108" s="54"/>
      <c r="C108" s="56"/>
      <c r="D108" s="56"/>
      <c r="E108" s="56">
        <f t="shared" si="1"/>
        <v>0</v>
      </c>
      <c r="F108" s="77"/>
      <c r="G108" s="76"/>
      <c r="H108" s="54"/>
    </row>
    <row r="109" spans="1:8" s="71" customFormat="1">
      <c r="A109" s="74"/>
      <c r="B109" s="54"/>
      <c r="C109" s="56"/>
      <c r="D109" s="56"/>
      <c r="E109" s="56">
        <f t="shared" si="1"/>
        <v>0</v>
      </c>
      <c r="F109" s="77"/>
      <c r="G109" s="76"/>
      <c r="H109" s="54"/>
    </row>
    <row r="110" spans="1:8">
      <c r="A110" s="74"/>
      <c r="B110" s="54"/>
      <c r="C110" s="56"/>
      <c r="D110" s="56"/>
      <c r="E110" s="56">
        <f t="shared" si="1"/>
        <v>0</v>
      </c>
      <c r="F110" s="77"/>
      <c r="G110" s="76"/>
      <c r="H110" s="54"/>
    </row>
    <row r="111" spans="1:8" s="71" customFormat="1">
      <c r="A111" s="74"/>
      <c r="B111" s="54"/>
      <c r="C111" s="56"/>
      <c r="D111" s="56"/>
      <c r="E111" s="56">
        <f t="shared" si="1"/>
        <v>0</v>
      </c>
      <c r="F111" s="77"/>
      <c r="G111" s="76"/>
      <c r="H111" s="54"/>
    </row>
    <row r="112" spans="1:8">
      <c r="A112" s="74"/>
      <c r="B112" s="54"/>
      <c r="C112" s="56"/>
      <c r="D112" s="56"/>
      <c r="E112" s="56">
        <f t="shared" si="1"/>
        <v>0</v>
      </c>
      <c r="F112" s="77"/>
      <c r="G112" s="76"/>
      <c r="H112" s="54"/>
    </row>
    <row r="113" spans="1:8">
      <c r="A113" s="74"/>
      <c r="B113" s="54"/>
      <c r="C113" s="56"/>
      <c r="D113" s="56"/>
      <c r="E113" s="56">
        <f t="shared" si="1"/>
        <v>0</v>
      </c>
      <c r="F113" s="77"/>
      <c r="G113" s="76"/>
      <c r="H113" s="54"/>
    </row>
    <row r="114" spans="1:8">
      <c r="A114" s="74"/>
      <c r="B114" s="54"/>
      <c r="C114" s="56"/>
      <c r="D114" s="56"/>
      <c r="E114" s="56">
        <f t="shared" si="1"/>
        <v>0</v>
      </c>
      <c r="F114" s="77"/>
      <c r="G114" s="76"/>
      <c r="H114" s="54"/>
    </row>
    <row r="115" spans="1:8">
      <c r="A115" s="74"/>
      <c r="B115" s="54"/>
      <c r="C115" s="56"/>
      <c r="D115" s="56"/>
      <c r="E115" s="56">
        <f t="shared" si="1"/>
        <v>0</v>
      </c>
      <c r="F115" s="77"/>
      <c r="G115" s="76"/>
      <c r="H115" s="54"/>
    </row>
    <row r="116" spans="1:8">
      <c r="A116" s="74"/>
      <c r="B116" s="54"/>
      <c r="C116" s="56"/>
      <c r="D116" s="56"/>
      <c r="E116" s="56">
        <f t="shared" si="1"/>
        <v>0</v>
      </c>
      <c r="F116" s="77"/>
      <c r="G116" s="76"/>
      <c r="H116" s="54"/>
    </row>
    <row r="117" spans="1:8">
      <c r="A117" s="74"/>
      <c r="B117" s="54"/>
      <c r="C117" s="56"/>
      <c r="D117" s="56"/>
      <c r="E117" s="56">
        <f t="shared" si="1"/>
        <v>0</v>
      </c>
      <c r="F117" s="77"/>
      <c r="G117" s="76"/>
      <c r="H117" s="54"/>
    </row>
    <row r="118" spans="1:8">
      <c r="A118" s="74"/>
      <c r="B118" s="54"/>
      <c r="C118" s="56"/>
      <c r="D118" s="56"/>
      <c r="E118" s="56">
        <f t="shared" si="1"/>
        <v>0</v>
      </c>
      <c r="F118" s="77"/>
      <c r="G118" s="76"/>
      <c r="H118" s="54"/>
    </row>
    <row r="119" spans="1:8">
      <c r="A119" s="74"/>
      <c r="B119" s="54"/>
      <c r="C119" s="56"/>
      <c r="D119" s="56"/>
      <c r="E119" s="56">
        <f t="shared" si="1"/>
        <v>0</v>
      </c>
      <c r="F119" s="77"/>
      <c r="G119" s="69"/>
      <c r="H119" s="54"/>
    </row>
    <row r="120" spans="1:8">
      <c r="A120" s="74"/>
      <c r="B120" s="54"/>
      <c r="C120" s="56"/>
      <c r="D120" s="56"/>
      <c r="E120" s="56">
        <f t="shared" si="1"/>
        <v>0</v>
      </c>
      <c r="F120" s="77"/>
      <c r="G120" s="69"/>
      <c r="H120" s="54"/>
    </row>
    <row r="121" spans="1:8">
      <c r="A121" s="74"/>
      <c r="B121" s="54"/>
      <c r="C121" s="56"/>
      <c r="D121" s="56"/>
      <c r="E121" s="56">
        <f t="shared" si="1"/>
        <v>0</v>
      </c>
      <c r="F121" s="77"/>
      <c r="G121" s="69"/>
      <c r="H121" s="54"/>
    </row>
    <row r="122" spans="1:8">
      <c r="A122" s="74"/>
      <c r="B122" s="54"/>
      <c r="C122" s="56"/>
      <c r="D122" s="56"/>
      <c r="E122" s="56">
        <f t="shared" si="1"/>
        <v>0</v>
      </c>
      <c r="F122" s="77"/>
      <c r="G122" s="76"/>
      <c r="H122" s="54"/>
    </row>
    <row r="123" spans="1:8">
      <c r="A123" s="83"/>
      <c r="B123" s="54"/>
      <c r="C123" s="56"/>
      <c r="D123" s="84"/>
      <c r="E123" s="56">
        <f t="shared" si="1"/>
        <v>0</v>
      </c>
      <c r="F123" s="77"/>
      <c r="G123" s="76"/>
      <c r="H123" s="54"/>
    </row>
    <row r="124" spans="1:8">
      <c r="A124" s="74"/>
      <c r="B124" s="54"/>
      <c r="C124" s="56"/>
      <c r="D124" s="56"/>
      <c r="E124" s="56">
        <f t="shared" si="1"/>
        <v>0</v>
      </c>
      <c r="F124" s="77"/>
      <c r="G124" s="69"/>
      <c r="H124" s="54"/>
    </row>
    <row r="125" spans="1:8">
      <c r="A125" s="74"/>
      <c r="B125" s="54"/>
      <c r="C125" s="56"/>
      <c r="D125" s="56"/>
      <c r="E125" s="56">
        <f t="shared" si="1"/>
        <v>0</v>
      </c>
      <c r="F125" s="77"/>
      <c r="G125" s="76"/>
      <c r="H125" s="54"/>
    </row>
    <row r="126" spans="1:8">
      <c r="A126" s="74"/>
      <c r="B126" s="54"/>
      <c r="C126" s="56"/>
      <c r="D126" s="56"/>
      <c r="E126" s="56">
        <f t="shared" si="1"/>
        <v>0</v>
      </c>
      <c r="F126" s="77"/>
      <c r="G126" s="76"/>
      <c r="H126" s="54"/>
    </row>
    <row r="127" spans="1:8">
      <c r="A127" s="74"/>
      <c r="B127" s="54"/>
      <c r="C127" s="56"/>
      <c r="D127" s="56"/>
      <c r="E127" s="56">
        <f t="shared" si="1"/>
        <v>0</v>
      </c>
      <c r="F127" s="77"/>
      <c r="G127" s="76"/>
      <c r="H127" s="54"/>
    </row>
    <row r="128" spans="1:8">
      <c r="A128" s="74"/>
      <c r="B128" s="54"/>
      <c r="C128" s="56"/>
      <c r="D128" s="56"/>
      <c r="E128" s="56">
        <f t="shared" si="1"/>
        <v>0</v>
      </c>
      <c r="F128" s="77"/>
      <c r="G128" s="76"/>
      <c r="H128" s="54"/>
    </row>
    <row r="129" spans="1:8">
      <c r="A129" s="83"/>
      <c r="B129" s="54"/>
      <c r="C129" s="56"/>
      <c r="D129" s="56"/>
      <c r="E129" s="56">
        <f t="shared" si="1"/>
        <v>0</v>
      </c>
      <c r="F129" s="77"/>
      <c r="G129" s="76"/>
      <c r="H129" s="54"/>
    </row>
    <row r="130" spans="1:8">
      <c r="A130" s="74"/>
      <c r="B130" s="54"/>
      <c r="C130" s="56"/>
      <c r="D130" s="56"/>
      <c r="E130" s="56">
        <f t="shared" si="1"/>
        <v>0</v>
      </c>
      <c r="F130" s="77"/>
      <c r="G130" s="76"/>
      <c r="H130" s="54"/>
    </row>
    <row r="131" spans="1:8" s="71" customFormat="1">
      <c r="A131" s="74"/>
      <c r="B131" s="54"/>
      <c r="C131" s="56"/>
      <c r="D131" s="56"/>
      <c r="E131" s="56">
        <f t="shared" si="1"/>
        <v>0</v>
      </c>
      <c r="F131" s="77"/>
      <c r="G131" s="76"/>
      <c r="H131" s="54"/>
    </row>
    <row r="132" spans="1:8">
      <c r="A132" s="74"/>
      <c r="B132" s="54"/>
      <c r="C132" s="56"/>
      <c r="D132" s="56"/>
      <c r="E132" s="56">
        <f t="shared" si="1"/>
        <v>0</v>
      </c>
      <c r="F132" s="77"/>
      <c r="G132" s="76"/>
      <c r="H132" s="54"/>
    </row>
    <row r="133" spans="1:8">
      <c r="A133" s="74"/>
      <c r="B133" s="54"/>
      <c r="C133" s="56"/>
      <c r="D133" s="56"/>
      <c r="E133" s="56">
        <f t="shared" si="1"/>
        <v>0</v>
      </c>
      <c r="F133" s="77"/>
      <c r="G133" s="76"/>
      <c r="H133" s="54"/>
    </row>
    <row r="134" spans="1:8">
      <c r="A134" s="74"/>
      <c r="B134" s="54"/>
      <c r="C134" s="56"/>
      <c r="D134" s="56"/>
      <c r="E134" s="56">
        <f t="shared" si="1"/>
        <v>0</v>
      </c>
      <c r="F134" s="77"/>
      <c r="G134" s="76"/>
      <c r="H134" s="54"/>
    </row>
    <row r="135" spans="1:8">
      <c r="A135" s="74"/>
      <c r="B135" s="54"/>
      <c r="C135" s="56"/>
      <c r="D135" s="56"/>
      <c r="E135" s="56">
        <f t="shared" si="1"/>
        <v>0</v>
      </c>
      <c r="F135" s="77"/>
      <c r="G135" s="76"/>
      <c r="H135" s="54"/>
    </row>
    <row r="136" spans="1:8">
      <c r="A136" s="74"/>
      <c r="B136" s="54"/>
      <c r="C136" s="56"/>
      <c r="D136" s="56"/>
      <c r="E136" s="56">
        <f t="shared" ref="E136:E163" si="2">E135-C136+D136</f>
        <v>0</v>
      </c>
      <c r="F136" s="77"/>
      <c r="G136" s="76"/>
      <c r="H136" s="54"/>
    </row>
    <row r="137" spans="1:8">
      <c r="A137" s="74"/>
      <c r="B137" s="54"/>
      <c r="C137" s="56"/>
      <c r="D137" s="56"/>
      <c r="E137" s="56">
        <f t="shared" si="2"/>
        <v>0</v>
      </c>
      <c r="F137" s="77"/>
      <c r="G137" s="76"/>
      <c r="H137" s="82"/>
    </row>
    <row r="138" spans="1:8">
      <c r="A138" s="74"/>
      <c r="B138" s="54"/>
      <c r="C138" s="56"/>
      <c r="D138" s="56"/>
      <c r="E138" s="56">
        <f t="shared" si="2"/>
        <v>0</v>
      </c>
      <c r="F138" s="77"/>
      <c r="G138" s="76"/>
      <c r="H138" s="54"/>
    </row>
    <row r="139" spans="1:8">
      <c r="A139" s="74"/>
      <c r="B139" s="54"/>
      <c r="C139" s="56"/>
      <c r="D139" s="56"/>
      <c r="E139" s="56">
        <f t="shared" si="2"/>
        <v>0</v>
      </c>
      <c r="F139" s="77"/>
      <c r="G139" s="76"/>
      <c r="H139" s="54"/>
    </row>
    <row r="140" spans="1:8">
      <c r="A140" s="74"/>
      <c r="B140" s="54"/>
      <c r="C140" s="56"/>
      <c r="D140" s="56"/>
      <c r="E140" s="56">
        <f t="shared" si="2"/>
        <v>0</v>
      </c>
      <c r="F140" s="77"/>
      <c r="G140" s="76"/>
      <c r="H140" s="54"/>
    </row>
    <row r="141" spans="1:8">
      <c r="A141" s="74"/>
      <c r="B141" s="54"/>
      <c r="C141" s="56"/>
      <c r="D141" s="56"/>
      <c r="E141" s="56">
        <f t="shared" si="2"/>
        <v>0</v>
      </c>
      <c r="F141" s="77"/>
      <c r="G141" s="76"/>
      <c r="H141" s="54"/>
    </row>
    <row r="142" spans="1:8">
      <c r="A142" s="74"/>
      <c r="B142" s="54"/>
      <c r="C142" s="56"/>
      <c r="D142" s="56"/>
      <c r="E142" s="56">
        <f t="shared" si="2"/>
        <v>0</v>
      </c>
      <c r="F142" s="77"/>
      <c r="G142" s="76"/>
      <c r="H142" s="54"/>
    </row>
    <row r="143" spans="1:8">
      <c r="A143" s="74"/>
      <c r="B143" s="54"/>
      <c r="C143" s="56"/>
      <c r="D143" s="56"/>
      <c r="E143" s="56">
        <f t="shared" si="2"/>
        <v>0</v>
      </c>
      <c r="F143" s="77"/>
      <c r="G143" s="76"/>
      <c r="H143" s="54"/>
    </row>
    <row r="144" spans="1:8">
      <c r="A144" s="74"/>
      <c r="B144" s="54"/>
      <c r="C144" s="56"/>
      <c r="D144" s="56"/>
      <c r="E144" s="56">
        <f t="shared" si="2"/>
        <v>0</v>
      </c>
      <c r="F144" s="77"/>
      <c r="G144" s="76"/>
      <c r="H144" s="54"/>
    </row>
    <row r="145" spans="1:8">
      <c r="A145" s="74"/>
      <c r="B145" s="54"/>
      <c r="C145" s="56"/>
      <c r="D145" s="56"/>
      <c r="E145" s="56">
        <f t="shared" si="2"/>
        <v>0</v>
      </c>
      <c r="F145" s="77"/>
      <c r="G145" s="76"/>
      <c r="H145" s="54"/>
    </row>
    <row r="146" spans="1:8">
      <c r="A146" s="74"/>
      <c r="B146" s="54"/>
      <c r="C146" s="56"/>
      <c r="D146" s="56"/>
      <c r="E146" s="56">
        <f t="shared" si="2"/>
        <v>0</v>
      </c>
      <c r="F146" s="77"/>
      <c r="G146" s="76"/>
      <c r="H146" s="54"/>
    </row>
    <row r="147" spans="1:8">
      <c r="A147" s="74"/>
      <c r="B147" s="54"/>
      <c r="C147" s="56"/>
      <c r="D147" s="56"/>
      <c r="E147" s="56">
        <f t="shared" si="2"/>
        <v>0</v>
      </c>
      <c r="F147" s="77"/>
      <c r="G147" s="76"/>
      <c r="H147" s="54"/>
    </row>
    <row r="148" spans="1:8">
      <c r="A148" s="74"/>
      <c r="B148" s="54"/>
      <c r="C148" s="56"/>
      <c r="D148" s="56"/>
      <c r="E148" s="56">
        <f t="shared" si="2"/>
        <v>0</v>
      </c>
      <c r="F148" s="77"/>
      <c r="G148" s="76"/>
      <c r="H148" s="54"/>
    </row>
    <row r="149" spans="1:8">
      <c r="A149" s="74"/>
      <c r="B149" s="54"/>
      <c r="C149" s="56"/>
      <c r="D149" s="56"/>
      <c r="E149" s="56">
        <f t="shared" si="2"/>
        <v>0</v>
      </c>
      <c r="F149" s="77"/>
      <c r="G149" s="76"/>
      <c r="H149" s="54"/>
    </row>
    <row r="150" spans="1:8" s="71" customFormat="1">
      <c r="A150" s="74"/>
      <c r="B150" s="54"/>
      <c r="C150" s="56"/>
      <c r="D150" s="56"/>
      <c r="E150" s="56">
        <f t="shared" si="2"/>
        <v>0</v>
      </c>
      <c r="F150" s="77"/>
      <c r="G150" s="76"/>
      <c r="H150" s="54"/>
    </row>
    <row r="151" spans="1:8">
      <c r="A151" s="74"/>
      <c r="B151" s="54"/>
      <c r="C151" s="56"/>
      <c r="D151" s="56"/>
      <c r="E151" s="56">
        <f t="shared" si="2"/>
        <v>0</v>
      </c>
      <c r="F151" s="78"/>
      <c r="G151" s="76"/>
      <c r="H151" s="54"/>
    </row>
    <row r="152" spans="1:8">
      <c r="A152" s="74"/>
      <c r="B152" s="54"/>
      <c r="C152" s="56"/>
      <c r="D152" s="56"/>
      <c r="E152" s="56">
        <f t="shared" si="2"/>
        <v>0</v>
      </c>
      <c r="F152" s="77"/>
      <c r="G152" s="54"/>
      <c r="H152" s="54"/>
    </row>
    <row r="153" spans="1:8">
      <c r="A153" s="74"/>
      <c r="B153" s="54"/>
      <c r="C153" s="56"/>
      <c r="D153" s="56"/>
      <c r="E153" s="56">
        <f t="shared" si="2"/>
        <v>0</v>
      </c>
      <c r="F153" s="77"/>
      <c r="G153" s="76"/>
      <c r="H153" s="54"/>
    </row>
    <row r="154" spans="1:8">
      <c r="A154" s="74"/>
      <c r="B154" s="54"/>
      <c r="C154" s="56"/>
      <c r="D154" s="56"/>
      <c r="E154" s="56">
        <f t="shared" si="2"/>
        <v>0</v>
      </c>
      <c r="F154" s="77"/>
      <c r="G154" s="76"/>
      <c r="H154" s="54"/>
    </row>
    <row r="155" spans="1:8">
      <c r="A155" s="74"/>
      <c r="B155" s="54"/>
      <c r="C155" s="56"/>
      <c r="D155" s="56"/>
      <c r="E155" s="56">
        <f t="shared" si="2"/>
        <v>0</v>
      </c>
      <c r="F155" s="77"/>
      <c r="G155" s="76"/>
      <c r="H155" s="54"/>
    </row>
    <row r="156" spans="1:8">
      <c r="A156" s="74"/>
      <c r="B156" s="54"/>
      <c r="C156" s="56"/>
      <c r="D156" s="56"/>
      <c r="E156" s="56">
        <f t="shared" si="2"/>
        <v>0</v>
      </c>
      <c r="F156" s="77"/>
      <c r="G156" s="76"/>
      <c r="H156" s="54"/>
    </row>
    <row r="157" spans="1:8">
      <c r="A157" s="74"/>
      <c r="B157" s="54"/>
      <c r="C157" s="56"/>
      <c r="D157" s="56"/>
      <c r="E157" s="56">
        <f t="shared" si="2"/>
        <v>0</v>
      </c>
      <c r="F157" s="77"/>
      <c r="G157" s="76"/>
      <c r="H157" s="54"/>
    </row>
    <row r="158" spans="1:8">
      <c r="A158" s="74"/>
      <c r="B158" s="54"/>
      <c r="C158" s="56"/>
      <c r="D158" s="56"/>
      <c r="E158" s="56">
        <f t="shared" si="2"/>
        <v>0</v>
      </c>
      <c r="F158" s="77"/>
      <c r="G158" s="76"/>
      <c r="H158" s="54"/>
    </row>
    <row r="159" spans="1:8">
      <c r="A159" s="74"/>
      <c r="B159" s="54"/>
      <c r="C159" s="56"/>
      <c r="D159" s="56"/>
      <c r="E159" s="56">
        <f t="shared" si="2"/>
        <v>0</v>
      </c>
      <c r="F159" s="77"/>
      <c r="G159" s="76"/>
      <c r="H159" s="54"/>
    </row>
    <row r="160" spans="1:8">
      <c r="A160" s="74"/>
      <c r="B160" s="54"/>
      <c r="C160" s="56"/>
      <c r="D160" s="56"/>
      <c r="E160" s="56">
        <f t="shared" si="2"/>
        <v>0</v>
      </c>
      <c r="F160" s="77"/>
      <c r="G160" s="76"/>
      <c r="H160" s="54"/>
    </row>
    <row r="161" spans="1:8">
      <c r="A161" s="74"/>
      <c r="B161" s="54"/>
      <c r="C161" s="56"/>
      <c r="D161" s="56"/>
      <c r="E161" s="56">
        <f t="shared" si="2"/>
        <v>0</v>
      </c>
      <c r="F161" s="77"/>
      <c r="G161" s="76"/>
      <c r="H161" s="54"/>
    </row>
    <row r="162" spans="1:8">
      <c r="A162" s="74"/>
      <c r="B162" s="54"/>
      <c r="C162" s="56"/>
      <c r="D162" s="56"/>
      <c r="E162" s="56">
        <f t="shared" si="2"/>
        <v>0</v>
      </c>
      <c r="F162" s="77"/>
      <c r="G162" s="76"/>
      <c r="H162" s="54"/>
    </row>
    <row r="163" spans="1:8">
      <c r="A163" s="74"/>
      <c r="B163" s="54"/>
      <c r="C163" s="56"/>
      <c r="D163" s="56"/>
      <c r="E163" s="56">
        <f t="shared" si="2"/>
        <v>0</v>
      </c>
      <c r="F163" s="77"/>
      <c r="G163" s="76"/>
      <c r="H163" s="54"/>
    </row>
    <row r="164" spans="1:8">
      <c r="C164" s="70">
        <f>SUM(C7:C163)</f>
        <v>0</v>
      </c>
      <c r="D164" s="70">
        <f>SUM(D7:D163)</f>
        <v>0</v>
      </c>
      <c r="F164" s="67"/>
    </row>
    <row r="168" spans="1:8">
      <c r="H168" t="s">
        <v>435</v>
      </c>
    </row>
  </sheetData>
  <autoFilter ref="A5:H5" xr:uid="{163EE640-5476-4526-A73E-2E8E04840C34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6674-25BA-41B3-9861-BA3123DB7158}">
  <dimension ref="A1:H168"/>
  <sheetViews>
    <sheetView zoomScale="175" zoomScaleNormal="175" workbookViewId="0">
      <selection activeCell="A3" sqref="A3"/>
    </sheetView>
  </sheetViews>
  <sheetFormatPr baseColWidth="10" defaultColWidth="11.42578125" defaultRowHeight="15"/>
  <cols>
    <col min="2" max="2" width="22.28515625" customWidth="1"/>
    <col min="3" max="3" width="12.85546875" customWidth="1"/>
    <col min="4" max="4" width="12.7109375" customWidth="1"/>
    <col min="5" max="5" width="12.28515625" customWidth="1"/>
    <col min="6" max="6" width="10.140625" style="68" customWidth="1"/>
    <col min="7" max="7" width="65.42578125" customWidth="1"/>
    <col min="8" max="8" width="59.28515625" customWidth="1"/>
  </cols>
  <sheetData>
    <row r="1" spans="1:8">
      <c r="A1" s="15"/>
      <c r="B1" s="15"/>
      <c r="C1" s="32"/>
      <c r="D1" s="32"/>
      <c r="E1" s="28" t="s">
        <v>0</v>
      </c>
      <c r="F1" s="65"/>
      <c r="G1" s="29"/>
      <c r="H1" s="29"/>
    </row>
    <row r="2" spans="1:8">
      <c r="A2" s="30" t="s">
        <v>552</v>
      </c>
      <c r="B2" s="15"/>
      <c r="C2" s="32"/>
      <c r="D2" s="32"/>
      <c r="E2" s="28" t="s">
        <v>2</v>
      </c>
      <c r="F2" s="65"/>
      <c r="G2" s="29"/>
      <c r="H2" s="29"/>
    </row>
    <row r="3" spans="1:8">
      <c r="A3" s="30" t="s">
        <v>553</v>
      </c>
      <c r="B3" s="15"/>
      <c r="C3" s="32"/>
      <c r="D3" s="32"/>
      <c r="E3" s="28" t="s">
        <v>4</v>
      </c>
      <c r="F3" s="65"/>
      <c r="G3" s="29"/>
      <c r="H3" s="29"/>
    </row>
    <row r="4" spans="1:8">
      <c r="A4" s="29"/>
      <c r="B4" s="29"/>
      <c r="C4" s="31"/>
      <c r="D4" s="31"/>
      <c r="E4" s="29"/>
      <c r="F4" s="66"/>
      <c r="G4" s="29"/>
      <c r="H4" s="29"/>
    </row>
    <row r="5" spans="1:8">
      <c r="A5" s="7" t="s">
        <v>5</v>
      </c>
      <c r="B5" s="7" t="s">
        <v>6</v>
      </c>
      <c r="C5" s="33" t="s">
        <v>7</v>
      </c>
      <c r="D5" s="33" t="s">
        <v>8</v>
      </c>
      <c r="E5" s="9" t="s">
        <v>9</v>
      </c>
      <c r="F5" s="64" t="s">
        <v>432</v>
      </c>
      <c r="G5" s="63" t="s">
        <v>433</v>
      </c>
      <c r="H5" s="54" t="s">
        <v>434</v>
      </c>
    </row>
    <row r="6" spans="1:8">
      <c r="A6" s="10"/>
      <c r="B6" s="10" t="s">
        <v>11</v>
      </c>
      <c r="C6" s="48"/>
      <c r="D6" s="48">
        <v>0</v>
      </c>
      <c r="E6" s="45"/>
      <c r="F6" s="63"/>
      <c r="G6" s="63"/>
      <c r="H6" s="45"/>
    </row>
    <row r="7" spans="1:8" s="71" customFormat="1">
      <c r="A7" s="74"/>
      <c r="B7" s="54"/>
      <c r="C7" s="56"/>
      <c r="D7" s="56"/>
      <c r="E7" s="56">
        <f>D6-C7+D7</f>
        <v>0</v>
      </c>
      <c r="F7" s="75"/>
      <c r="G7" s="76"/>
      <c r="H7" s="54"/>
    </row>
    <row r="8" spans="1:8">
      <c r="A8" s="74"/>
      <c r="B8" s="54"/>
      <c r="C8" s="56"/>
      <c r="D8" s="56"/>
      <c r="E8" s="56">
        <f t="shared" ref="E8:E71" si="0">E7-C8+D8</f>
        <v>0</v>
      </c>
      <c r="F8" s="75"/>
      <c r="G8" s="76"/>
      <c r="H8" s="54"/>
    </row>
    <row r="9" spans="1:8">
      <c r="A9" s="74"/>
      <c r="B9" s="54"/>
      <c r="C9" s="56"/>
      <c r="D9" s="56"/>
      <c r="E9" s="56">
        <f t="shared" si="0"/>
        <v>0</v>
      </c>
      <c r="F9" s="77"/>
      <c r="G9" s="76"/>
      <c r="H9" s="54"/>
    </row>
    <row r="10" spans="1:8">
      <c r="A10" s="74"/>
      <c r="B10" s="54"/>
      <c r="C10" s="56"/>
      <c r="D10" s="56"/>
      <c r="E10" s="56">
        <f t="shared" si="0"/>
        <v>0</v>
      </c>
      <c r="F10" s="77"/>
      <c r="G10" s="76"/>
      <c r="H10" s="54"/>
    </row>
    <row r="11" spans="1:8">
      <c r="A11" s="74"/>
      <c r="B11" s="54"/>
      <c r="C11" s="56"/>
      <c r="D11" s="56"/>
      <c r="E11" s="56">
        <f t="shared" si="0"/>
        <v>0</v>
      </c>
      <c r="F11" s="77"/>
      <c r="G11" s="76"/>
      <c r="H11" s="54"/>
    </row>
    <row r="12" spans="1:8">
      <c r="A12" s="74"/>
      <c r="B12" s="54"/>
      <c r="C12" s="56"/>
      <c r="D12" s="56"/>
      <c r="E12" s="56">
        <f t="shared" si="0"/>
        <v>0</v>
      </c>
      <c r="F12" s="77"/>
      <c r="G12" s="76"/>
      <c r="H12" s="54"/>
    </row>
    <row r="13" spans="1:8">
      <c r="A13" s="74"/>
      <c r="B13" s="54"/>
      <c r="C13" s="56"/>
      <c r="D13" s="56"/>
      <c r="E13" s="56">
        <f t="shared" si="0"/>
        <v>0</v>
      </c>
      <c r="F13" s="77"/>
      <c r="G13" s="76"/>
      <c r="H13" s="54"/>
    </row>
    <row r="14" spans="1:8">
      <c r="A14" s="74"/>
      <c r="B14" s="54"/>
      <c r="C14" s="56"/>
      <c r="D14" s="56"/>
      <c r="E14" s="56">
        <f t="shared" si="0"/>
        <v>0</v>
      </c>
      <c r="F14" s="75"/>
      <c r="G14" s="76"/>
      <c r="H14" s="54"/>
    </row>
    <row r="15" spans="1:8">
      <c r="A15" s="74"/>
      <c r="B15" s="54"/>
      <c r="C15" s="56"/>
      <c r="D15" s="56"/>
      <c r="E15" s="56">
        <f t="shared" si="0"/>
        <v>0</v>
      </c>
      <c r="F15" s="77"/>
      <c r="G15" s="76"/>
      <c r="H15" s="54"/>
    </row>
    <row r="16" spans="1:8">
      <c r="A16" s="74"/>
      <c r="B16" s="54"/>
      <c r="C16" s="56"/>
      <c r="D16" s="56"/>
      <c r="E16" s="56">
        <f t="shared" si="0"/>
        <v>0</v>
      </c>
      <c r="F16" s="77"/>
      <c r="G16" s="76"/>
      <c r="H16" s="54"/>
    </row>
    <row r="17" spans="1:8">
      <c r="A17" s="74"/>
      <c r="B17" s="54"/>
      <c r="C17" s="56"/>
      <c r="D17" s="56"/>
      <c r="E17" s="56">
        <f t="shared" si="0"/>
        <v>0</v>
      </c>
      <c r="F17" s="77"/>
      <c r="G17" s="76"/>
      <c r="H17" s="54"/>
    </row>
    <row r="18" spans="1:8">
      <c r="A18" s="74"/>
      <c r="B18" s="54"/>
      <c r="C18" s="56"/>
      <c r="D18" s="56"/>
      <c r="E18" s="56">
        <f t="shared" si="0"/>
        <v>0</v>
      </c>
      <c r="F18" s="77"/>
      <c r="G18" s="76"/>
      <c r="H18" s="54"/>
    </row>
    <row r="19" spans="1:8">
      <c r="A19" s="74"/>
      <c r="B19" s="54"/>
      <c r="C19" s="56"/>
      <c r="D19" s="56"/>
      <c r="E19" s="56">
        <f t="shared" si="0"/>
        <v>0</v>
      </c>
      <c r="F19" s="77"/>
      <c r="G19" s="76"/>
      <c r="H19" s="54"/>
    </row>
    <row r="20" spans="1:8">
      <c r="A20" s="74"/>
      <c r="B20" s="54"/>
      <c r="C20" s="56"/>
      <c r="D20" s="56"/>
      <c r="E20" s="56">
        <f t="shared" si="0"/>
        <v>0</v>
      </c>
      <c r="F20" s="77"/>
      <c r="G20" s="76"/>
      <c r="H20" s="54"/>
    </row>
    <row r="21" spans="1:8">
      <c r="A21" s="74"/>
      <c r="B21" s="54"/>
      <c r="C21" s="56"/>
      <c r="D21" s="56"/>
      <c r="E21" s="56">
        <f t="shared" si="0"/>
        <v>0</v>
      </c>
      <c r="F21" s="77"/>
      <c r="G21" s="76"/>
      <c r="H21" s="54"/>
    </row>
    <row r="22" spans="1:8">
      <c r="A22" s="74"/>
      <c r="B22" s="54"/>
      <c r="C22" s="56"/>
      <c r="D22" s="56"/>
      <c r="E22" s="56">
        <f t="shared" si="0"/>
        <v>0</v>
      </c>
      <c r="F22" s="77"/>
      <c r="G22" s="76"/>
      <c r="H22" s="54"/>
    </row>
    <row r="23" spans="1:8">
      <c r="A23" s="74"/>
      <c r="B23" s="54"/>
      <c r="C23" s="56"/>
      <c r="D23" s="56"/>
      <c r="E23" s="56">
        <f t="shared" si="0"/>
        <v>0</v>
      </c>
      <c r="F23" s="77"/>
      <c r="G23" s="76"/>
      <c r="H23" s="54"/>
    </row>
    <row r="24" spans="1:8">
      <c r="A24" s="74"/>
      <c r="B24" s="54"/>
      <c r="C24" s="56"/>
      <c r="D24" s="56"/>
      <c r="E24" s="56">
        <f t="shared" si="0"/>
        <v>0</v>
      </c>
      <c r="F24" s="77"/>
      <c r="G24" s="76"/>
      <c r="H24" s="54"/>
    </row>
    <row r="25" spans="1:8">
      <c r="A25" s="74"/>
      <c r="B25" s="54"/>
      <c r="C25" s="56"/>
      <c r="D25" s="56"/>
      <c r="E25" s="56">
        <f t="shared" si="0"/>
        <v>0</v>
      </c>
      <c r="F25" s="77"/>
      <c r="G25" s="76"/>
      <c r="H25" s="54"/>
    </row>
    <row r="26" spans="1:8">
      <c r="A26" s="74"/>
      <c r="B26" s="54"/>
      <c r="C26" s="56"/>
      <c r="D26" s="56"/>
      <c r="E26" s="56">
        <f t="shared" si="0"/>
        <v>0</v>
      </c>
      <c r="F26" s="77"/>
      <c r="G26" s="76"/>
      <c r="H26" s="54"/>
    </row>
    <row r="27" spans="1:8">
      <c r="A27" s="74"/>
      <c r="B27" s="54"/>
      <c r="C27" s="56"/>
      <c r="D27" s="56"/>
      <c r="E27" s="56">
        <f t="shared" si="0"/>
        <v>0</v>
      </c>
      <c r="F27" s="77"/>
      <c r="G27" s="76"/>
      <c r="H27" s="54"/>
    </row>
    <row r="28" spans="1:8">
      <c r="A28" s="74"/>
      <c r="B28" s="54"/>
      <c r="C28" s="56"/>
      <c r="D28" s="56"/>
      <c r="E28" s="56">
        <f t="shared" si="0"/>
        <v>0</v>
      </c>
      <c r="F28" s="77"/>
      <c r="G28" s="76"/>
      <c r="H28" s="54"/>
    </row>
    <row r="29" spans="1:8">
      <c r="A29" s="74"/>
      <c r="B29" s="54"/>
      <c r="C29" s="56"/>
      <c r="D29" s="56"/>
      <c r="E29" s="56">
        <f t="shared" si="0"/>
        <v>0</v>
      </c>
      <c r="F29" s="78"/>
      <c r="G29" s="54"/>
      <c r="H29" s="54"/>
    </row>
    <row r="30" spans="1:8">
      <c r="A30" s="74"/>
      <c r="B30" s="54"/>
      <c r="C30" s="56"/>
      <c r="D30" s="56"/>
      <c r="E30" s="56">
        <f t="shared" si="0"/>
        <v>0</v>
      </c>
      <c r="F30" s="77"/>
      <c r="G30" s="76"/>
      <c r="H30" s="54"/>
    </row>
    <row r="31" spans="1:8">
      <c r="A31" s="74"/>
      <c r="B31" s="54"/>
      <c r="C31" s="56"/>
      <c r="D31" s="56"/>
      <c r="E31" s="56">
        <f t="shared" si="0"/>
        <v>0</v>
      </c>
      <c r="F31" s="78"/>
      <c r="G31" s="54"/>
      <c r="H31" s="54"/>
    </row>
    <row r="32" spans="1:8">
      <c r="A32" s="74"/>
      <c r="B32" s="54"/>
      <c r="C32" s="56"/>
      <c r="D32" s="56"/>
      <c r="E32" s="56">
        <f t="shared" si="0"/>
        <v>0</v>
      </c>
      <c r="F32" s="78"/>
      <c r="G32" s="79"/>
      <c r="H32" s="54"/>
    </row>
    <row r="33" spans="1:8">
      <c r="A33" s="74"/>
      <c r="B33" s="54"/>
      <c r="C33" s="56"/>
      <c r="D33" s="56"/>
      <c r="E33" s="56">
        <f t="shared" si="0"/>
        <v>0</v>
      </c>
      <c r="F33" s="78"/>
      <c r="G33" s="79"/>
      <c r="H33" s="54"/>
    </row>
    <row r="34" spans="1:8">
      <c r="A34" s="74"/>
      <c r="B34" s="54"/>
      <c r="C34" s="56"/>
      <c r="D34" s="56"/>
      <c r="E34" s="56">
        <f t="shared" si="0"/>
        <v>0</v>
      </c>
      <c r="F34" s="78"/>
      <c r="G34" s="54"/>
      <c r="H34" s="54"/>
    </row>
    <row r="35" spans="1:8">
      <c r="A35" s="74"/>
      <c r="B35" s="54"/>
      <c r="C35" s="56"/>
      <c r="D35" s="56"/>
      <c r="E35" s="56">
        <f t="shared" si="0"/>
        <v>0</v>
      </c>
      <c r="F35" s="77"/>
      <c r="G35" s="76"/>
      <c r="H35" s="54"/>
    </row>
    <row r="36" spans="1:8">
      <c r="A36" s="74"/>
      <c r="B36" s="54"/>
      <c r="C36" s="56"/>
      <c r="D36" s="56"/>
      <c r="E36" s="56">
        <f t="shared" si="0"/>
        <v>0</v>
      </c>
      <c r="F36" s="77"/>
      <c r="G36" s="76"/>
      <c r="H36" s="54"/>
    </row>
    <row r="37" spans="1:8">
      <c r="A37" s="74"/>
      <c r="B37" s="54"/>
      <c r="C37" s="56"/>
      <c r="D37" s="56"/>
      <c r="E37" s="56">
        <f t="shared" si="0"/>
        <v>0</v>
      </c>
      <c r="F37" s="77"/>
      <c r="G37" s="76"/>
      <c r="H37" s="54"/>
    </row>
    <row r="38" spans="1:8">
      <c r="A38" s="74"/>
      <c r="B38" s="54"/>
      <c r="C38" s="56"/>
      <c r="D38" s="56"/>
      <c r="E38" s="56">
        <f t="shared" si="0"/>
        <v>0</v>
      </c>
      <c r="F38" s="78"/>
      <c r="G38" s="54"/>
      <c r="H38" s="54"/>
    </row>
    <row r="39" spans="1:8">
      <c r="A39" s="74"/>
      <c r="B39" s="54"/>
      <c r="C39" s="56"/>
      <c r="D39" s="56"/>
      <c r="E39" s="56">
        <f t="shared" si="0"/>
        <v>0</v>
      </c>
      <c r="F39" s="78"/>
      <c r="G39" s="80"/>
      <c r="H39" s="54"/>
    </row>
    <row r="40" spans="1:8">
      <c r="A40" s="74"/>
      <c r="B40" s="54"/>
      <c r="C40" s="56"/>
      <c r="D40" s="56"/>
      <c r="E40" s="56">
        <f t="shared" si="0"/>
        <v>0</v>
      </c>
      <c r="F40" s="77"/>
      <c r="G40" s="76"/>
      <c r="H40" s="54"/>
    </row>
    <row r="41" spans="1:8">
      <c r="A41" s="74"/>
      <c r="B41" s="54"/>
      <c r="C41" s="56"/>
      <c r="D41" s="56"/>
      <c r="E41" s="56">
        <f t="shared" si="0"/>
        <v>0</v>
      </c>
      <c r="F41" s="77"/>
      <c r="G41" s="76"/>
      <c r="H41" s="54"/>
    </row>
    <row r="42" spans="1:8">
      <c r="A42" s="74"/>
      <c r="B42" s="54"/>
      <c r="C42" s="56"/>
      <c r="D42" s="56"/>
      <c r="E42" s="56">
        <f t="shared" si="0"/>
        <v>0</v>
      </c>
      <c r="F42" s="77"/>
      <c r="G42" s="76"/>
      <c r="H42" s="54"/>
    </row>
    <row r="43" spans="1:8">
      <c r="A43" s="74"/>
      <c r="B43" s="54"/>
      <c r="C43" s="56"/>
      <c r="D43" s="56"/>
      <c r="E43" s="56">
        <f t="shared" si="0"/>
        <v>0</v>
      </c>
      <c r="F43" s="77"/>
      <c r="G43" s="76"/>
      <c r="H43" s="54"/>
    </row>
    <row r="44" spans="1:8">
      <c r="A44" s="74"/>
      <c r="B44" s="54"/>
      <c r="C44" s="56"/>
      <c r="D44" s="56"/>
      <c r="E44" s="56">
        <f t="shared" si="0"/>
        <v>0</v>
      </c>
      <c r="F44" s="77"/>
      <c r="G44" s="76"/>
      <c r="H44" s="54"/>
    </row>
    <row r="45" spans="1:8">
      <c r="A45" s="74"/>
      <c r="B45" s="54"/>
      <c r="C45" s="56"/>
      <c r="D45" s="56"/>
      <c r="E45" s="56">
        <f t="shared" si="0"/>
        <v>0</v>
      </c>
      <c r="F45" s="77"/>
      <c r="G45" s="76"/>
      <c r="H45" s="54"/>
    </row>
    <row r="46" spans="1:8">
      <c r="A46" s="74"/>
      <c r="B46" s="54"/>
      <c r="C46" s="56"/>
      <c r="D46" s="56"/>
      <c r="E46" s="56">
        <f t="shared" si="0"/>
        <v>0</v>
      </c>
      <c r="F46" s="77"/>
      <c r="G46" s="76"/>
      <c r="H46" s="54"/>
    </row>
    <row r="47" spans="1:8">
      <c r="A47" s="74"/>
      <c r="B47" s="54"/>
      <c r="C47" s="56"/>
      <c r="D47" s="56"/>
      <c r="E47" s="56">
        <f t="shared" si="0"/>
        <v>0</v>
      </c>
      <c r="F47" s="77"/>
      <c r="G47" s="76"/>
      <c r="H47" s="54"/>
    </row>
    <row r="48" spans="1:8">
      <c r="A48" s="74"/>
      <c r="B48" s="54"/>
      <c r="C48" s="56"/>
      <c r="D48" s="56"/>
      <c r="E48" s="56">
        <f t="shared" si="0"/>
        <v>0</v>
      </c>
      <c r="F48" s="77"/>
      <c r="G48" s="76"/>
      <c r="H48" s="54"/>
    </row>
    <row r="49" spans="1:8">
      <c r="A49" s="74"/>
      <c r="B49" s="54"/>
      <c r="C49" s="56"/>
      <c r="D49" s="56"/>
      <c r="E49" s="56">
        <f t="shared" si="0"/>
        <v>0</v>
      </c>
      <c r="F49" s="78"/>
      <c r="G49" s="54"/>
      <c r="H49" s="54"/>
    </row>
    <row r="50" spans="1:8">
      <c r="A50" s="74"/>
      <c r="B50" s="54"/>
      <c r="C50" s="56"/>
      <c r="D50" s="56"/>
      <c r="E50" s="56">
        <f t="shared" si="0"/>
        <v>0</v>
      </c>
      <c r="F50" s="77"/>
      <c r="G50" s="76"/>
      <c r="H50" s="54"/>
    </row>
    <row r="51" spans="1:8">
      <c r="A51" s="74"/>
      <c r="B51" s="54"/>
      <c r="C51" s="56"/>
      <c r="D51" s="56"/>
      <c r="E51" s="56">
        <f t="shared" si="0"/>
        <v>0</v>
      </c>
      <c r="F51" s="77"/>
      <c r="G51" s="76"/>
      <c r="H51" s="54"/>
    </row>
    <row r="52" spans="1:8">
      <c r="A52" s="74"/>
      <c r="B52" s="54"/>
      <c r="C52" s="56"/>
      <c r="D52" s="56"/>
      <c r="E52" s="56">
        <f t="shared" si="0"/>
        <v>0</v>
      </c>
      <c r="F52" s="77"/>
      <c r="G52" s="76"/>
      <c r="H52" s="54"/>
    </row>
    <row r="53" spans="1:8">
      <c r="A53" s="74"/>
      <c r="B53" s="54"/>
      <c r="C53" s="56"/>
      <c r="D53" s="56"/>
      <c r="E53" s="56">
        <f t="shared" si="0"/>
        <v>0</v>
      </c>
      <c r="F53" s="77"/>
      <c r="G53" s="76"/>
      <c r="H53" s="54"/>
    </row>
    <row r="54" spans="1:8">
      <c r="A54" s="74"/>
      <c r="B54" s="54"/>
      <c r="C54" s="56"/>
      <c r="D54" s="56"/>
      <c r="E54" s="56">
        <f t="shared" si="0"/>
        <v>0</v>
      </c>
      <c r="F54" s="77"/>
      <c r="G54" s="76"/>
      <c r="H54" s="54"/>
    </row>
    <row r="55" spans="1:8">
      <c r="A55" s="74"/>
      <c r="B55" s="54"/>
      <c r="C55" s="56"/>
      <c r="D55" s="56"/>
      <c r="E55" s="56">
        <f t="shared" si="0"/>
        <v>0</v>
      </c>
      <c r="F55" s="77"/>
      <c r="G55" s="76"/>
      <c r="H55" s="54"/>
    </row>
    <row r="56" spans="1:8">
      <c r="A56" s="74"/>
      <c r="B56" s="54"/>
      <c r="C56" s="56"/>
      <c r="D56" s="56"/>
      <c r="E56" s="56">
        <f t="shared" si="0"/>
        <v>0</v>
      </c>
      <c r="F56" s="77"/>
      <c r="G56" s="76"/>
      <c r="H56" s="54"/>
    </row>
    <row r="57" spans="1:8">
      <c r="A57" s="74"/>
      <c r="B57" s="54"/>
      <c r="C57" s="56"/>
      <c r="D57" s="56"/>
      <c r="E57" s="56">
        <f t="shared" si="0"/>
        <v>0</v>
      </c>
      <c r="F57" s="77"/>
      <c r="G57" s="76"/>
      <c r="H57" s="54"/>
    </row>
    <row r="58" spans="1:8">
      <c r="A58" s="73"/>
      <c r="B58" s="54"/>
      <c r="C58" s="56"/>
      <c r="D58" s="56"/>
      <c r="E58" s="56">
        <f t="shared" si="0"/>
        <v>0</v>
      </c>
      <c r="F58" s="77"/>
      <c r="G58" s="76"/>
      <c r="H58" s="54"/>
    </row>
    <row r="59" spans="1:8">
      <c r="A59" s="73"/>
      <c r="B59" s="54"/>
      <c r="C59" s="56"/>
      <c r="D59" s="56"/>
      <c r="E59" s="56">
        <f t="shared" si="0"/>
        <v>0</v>
      </c>
      <c r="F59" s="77"/>
      <c r="G59" s="76"/>
      <c r="H59" s="54"/>
    </row>
    <row r="60" spans="1:8" s="71" customFormat="1">
      <c r="A60" s="73"/>
      <c r="B60" s="54"/>
      <c r="C60" s="56"/>
      <c r="D60" s="56"/>
      <c r="E60" s="56">
        <f t="shared" si="0"/>
        <v>0</v>
      </c>
      <c r="F60" s="77"/>
      <c r="G60" s="76"/>
      <c r="H60" s="54"/>
    </row>
    <row r="61" spans="1:8" s="71" customFormat="1">
      <c r="A61" s="73"/>
      <c r="B61" s="54"/>
      <c r="C61" s="56"/>
      <c r="D61" s="56"/>
      <c r="E61" s="56">
        <f t="shared" si="0"/>
        <v>0</v>
      </c>
      <c r="F61" s="77"/>
      <c r="G61" s="76"/>
      <c r="H61" s="54"/>
    </row>
    <row r="62" spans="1:8" s="71" customFormat="1">
      <c r="A62" s="73"/>
      <c r="B62" s="54"/>
      <c r="C62" s="56"/>
      <c r="D62" s="56"/>
      <c r="E62" s="56">
        <f t="shared" si="0"/>
        <v>0</v>
      </c>
      <c r="F62" s="77"/>
      <c r="G62" s="76"/>
      <c r="H62" s="54"/>
    </row>
    <row r="63" spans="1:8" s="71" customFormat="1">
      <c r="A63" s="73"/>
      <c r="B63" s="54"/>
      <c r="C63" s="56"/>
      <c r="D63" s="56"/>
      <c r="E63" s="56">
        <f t="shared" si="0"/>
        <v>0</v>
      </c>
      <c r="F63" s="77"/>
      <c r="G63" s="76"/>
      <c r="H63" s="54"/>
    </row>
    <row r="64" spans="1:8" s="71" customFormat="1">
      <c r="A64" s="73"/>
      <c r="B64" s="54"/>
      <c r="C64" s="56"/>
      <c r="D64" s="56"/>
      <c r="E64" s="56">
        <f t="shared" si="0"/>
        <v>0</v>
      </c>
      <c r="F64" s="77"/>
      <c r="G64" s="76"/>
      <c r="H64" s="54"/>
    </row>
    <row r="65" spans="1:8" s="71" customFormat="1">
      <c r="A65" s="73"/>
      <c r="B65" s="54"/>
      <c r="C65" s="56"/>
      <c r="D65" s="56"/>
      <c r="E65" s="56">
        <f t="shared" si="0"/>
        <v>0</v>
      </c>
      <c r="F65" s="77"/>
      <c r="G65" s="76"/>
      <c r="H65" s="54"/>
    </row>
    <row r="66" spans="1:8" s="71" customFormat="1">
      <c r="A66" s="73"/>
      <c r="B66" s="54"/>
      <c r="C66" s="56"/>
      <c r="D66" s="56"/>
      <c r="E66" s="56">
        <f t="shared" si="0"/>
        <v>0</v>
      </c>
      <c r="F66" s="77"/>
      <c r="G66" s="76"/>
      <c r="H66" s="54"/>
    </row>
    <row r="67" spans="1:8" s="71" customFormat="1">
      <c r="A67" s="73"/>
      <c r="B67" s="54"/>
      <c r="C67" s="56"/>
      <c r="D67" s="56"/>
      <c r="E67" s="56">
        <f t="shared" si="0"/>
        <v>0</v>
      </c>
      <c r="F67" s="77"/>
      <c r="G67" s="76"/>
      <c r="H67" s="54"/>
    </row>
    <row r="68" spans="1:8" s="71" customFormat="1">
      <c r="A68" s="73"/>
      <c r="B68" s="54"/>
      <c r="C68" s="56"/>
      <c r="D68" s="56"/>
      <c r="E68" s="56">
        <f t="shared" si="0"/>
        <v>0</v>
      </c>
      <c r="F68" s="77"/>
      <c r="G68" s="76"/>
      <c r="H68" s="54"/>
    </row>
    <row r="69" spans="1:8" s="71" customFormat="1">
      <c r="A69" s="73"/>
      <c r="B69" s="54"/>
      <c r="C69" s="56"/>
      <c r="D69" s="56"/>
      <c r="E69" s="56">
        <f t="shared" si="0"/>
        <v>0</v>
      </c>
      <c r="F69" s="77"/>
      <c r="G69" s="76"/>
      <c r="H69" s="54"/>
    </row>
    <row r="70" spans="1:8">
      <c r="A70" s="73"/>
      <c r="B70" s="54"/>
      <c r="C70" s="56"/>
      <c r="D70" s="56"/>
      <c r="E70" s="56">
        <f t="shared" si="0"/>
        <v>0</v>
      </c>
      <c r="F70" s="75"/>
      <c r="G70" s="76"/>
      <c r="H70" s="54"/>
    </row>
    <row r="71" spans="1:8">
      <c r="A71" s="74"/>
      <c r="B71" s="54"/>
      <c r="C71" s="56"/>
      <c r="D71" s="56"/>
      <c r="E71" s="56">
        <f t="shared" si="0"/>
        <v>0</v>
      </c>
      <c r="F71" s="77"/>
      <c r="G71" s="76"/>
      <c r="H71" s="54"/>
    </row>
    <row r="72" spans="1:8">
      <c r="A72" s="74"/>
      <c r="B72" s="54"/>
      <c r="C72" s="56"/>
      <c r="D72" s="56"/>
      <c r="E72" s="56">
        <f t="shared" ref="E72:E135" si="1">E71-C72+D72</f>
        <v>0</v>
      </c>
      <c r="F72" s="77"/>
      <c r="G72" s="76"/>
      <c r="H72" s="54"/>
    </row>
    <row r="73" spans="1:8" s="72" customFormat="1">
      <c r="A73" s="74"/>
      <c r="B73" s="54"/>
      <c r="C73" s="56"/>
      <c r="D73" s="56"/>
      <c r="E73" s="56">
        <f t="shared" si="1"/>
        <v>0</v>
      </c>
      <c r="F73" s="77"/>
      <c r="G73" s="76"/>
      <c r="H73" s="54"/>
    </row>
    <row r="74" spans="1:8">
      <c r="A74" s="74"/>
      <c r="B74" s="54"/>
      <c r="C74" s="56"/>
      <c r="D74" s="56"/>
      <c r="E74" s="56">
        <f t="shared" si="1"/>
        <v>0</v>
      </c>
      <c r="F74" s="77"/>
      <c r="G74" s="76"/>
      <c r="H74" s="54"/>
    </row>
    <row r="75" spans="1:8">
      <c r="A75" s="74"/>
      <c r="B75" s="54"/>
      <c r="C75" s="56"/>
      <c r="D75" s="56"/>
      <c r="E75" s="56">
        <f t="shared" si="1"/>
        <v>0</v>
      </c>
      <c r="F75" s="77"/>
      <c r="G75" s="76"/>
      <c r="H75" s="54"/>
    </row>
    <row r="76" spans="1:8">
      <c r="A76" s="74"/>
      <c r="B76" s="54"/>
      <c r="C76" s="56"/>
      <c r="D76" s="56"/>
      <c r="E76" s="56">
        <f t="shared" si="1"/>
        <v>0</v>
      </c>
      <c r="F76" s="77"/>
      <c r="G76" s="76"/>
      <c r="H76" s="54"/>
    </row>
    <row r="77" spans="1:8">
      <c r="A77" s="74"/>
      <c r="B77" s="54"/>
      <c r="C77" s="56"/>
      <c r="D77" s="56"/>
      <c r="E77" s="56">
        <f t="shared" si="1"/>
        <v>0</v>
      </c>
      <c r="F77" s="77"/>
      <c r="G77" s="76"/>
      <c r="H77" s="54"/>
    </row>
    <row r="78" spans="1:8">
      <c r="A78" s="74"/>
      <c r="B78" s="54"/>
      <c r="C78" s="56"/>
      <c r="D78" s="56"/>
      <c r="E78" s="56">
        <f t="shared" si="1"/>
        <v>0</v>
      </c>
      <c r="F78" s="77"/>
      <c r="G78" s="76"/>
      <c r="H78" s="54"/>
    </row>
    <row r="79" spans="1:8">
      <c r="A79" s="74"/>
      <c r="B79" s="54"/>
      <c r="C79" s="56"/>
      <c r="D79" s="56"/>
      <c r="E79" s="56">
        <f t="shared" si="1"/>
        <v>0</v>
      </c>
      <c r="F79" s="77"/>
      <c r="G79" s="76"/>
      <c r="H79" s="54"/>
    </row>
    <row r="80" spans="1:8">
      <c r="A80" s="74"/>
      <c r="B80" s="54"/>
      <c r="C80" s="56"/>
      <c r="D80" s="56"/>
      <c r="E80" s="56">
        <f t="shared" si="1"/>
        <v>0</v>
      </c>
      <c r="F80" s="77"/>
      <c r="G80" s="76"/>
      <c r="H80" s="54"/>
    </row>
    <row r="81" spans="1:8">
      <c r="A81" s="74"/>
      <c r="B81" s="54"/>
      <c r="C81" s="56"/>
      <c r="D81" s="56"/>
      <c r="E81" s="56">
        <f t="shared" si="1"/>
        <v>0</v>
      </c>
      <c r="F81" s="77"/>
      <c r="G81" s="76"/>
      <c r="H81" s="54"/>
    </row>
    <row r="82" spans="1:8">
      <c r="A82" s="74"/>
      <c r="B82" s="54"/>
      <c r="C82" s="56"/>
      <c r="D82" s="56"/>
      <c r="E82" s="56">
        <f t="shared" si="1"/>
        <v>0</v>
      </c>
      <c r="F82" s="77"/>
      <c r="G82" s="76"/>
      <c r="H82" s="54"/>
    </row>
    <row r="83" spans="1:8">
      <c r="A83" s="74"/>
      <c r="B83" s="54"/>
      <c r="C83" s="56"/>
      <c r="D83" s="56"/>
      <c r="E83" s="56">
        <f t="shared" si="1"/>
        <v>0</v>
      </c>
      <c r="F83" s="77"/>
      <c r="G83" s="76"/>
      <c r="H83" s="54"/>
    </row>
    <row r="84" spans="1:8">
      <c r="A84" s="74"/>
      <c r="B84" s="54"/>
      <c r="C84" s="56"/>
      <c r="D84" s="56"/>
      <c r="E84" s="56">
        <f t="shared" si="1"/>
        <v>0</v>
      </c>
      <c r="F84" s="77"/>
      <c r="G84" s="76"/>
      <c r="H84" s="54"/>
    </row>
    <row r="85" spans="1:8">
      <c r="A85" s="74"/>
      <c r="B85" s="54"/>
      <c r="C85" s="56"/>
      <c r="D85" s="56"/>
      <c r="E85" s="56">
        <f t="shared" si="1"/>
        <v>0</v>
      </c>
      <c r="F85" s="77"/>
      <c r="G85" s="76"/>
      <c r="H85" s="54"/>
    </row>
    <row r="86" spans="1:8">
      <c r="A86" s="74"/>
      <c r="B86" s="54"/>
      <c r="C86" s="56"/>
      <c r="D86" s="56"/>
      <c r="E86" s="56">
        <f t="shared" si="1"/>
        <v>0</v>
      </c>
      <c r="F86" s="77"/>
      <c r="G86" s="76"/>
      <c r="H86" s="54"/>
    </row>
    <row r="87" spans="1:8">
      <c r="A87" s="74"/>
      <c r="B87" s="54"/>
      <c r="C87" s="56"/>
      <c r="D87" s="56"/>
      <c r="E87" s="56">
        <f t="shared" si="1"/>
        <v>0</v>
      </c>
      <c r="F87" s="77"/>
      <c r="G87" s="76"/>
      <c r="H87" s="54"/>
    </row>
    <row r="88" spans="1:8">
      <c r="A88" s="74"/>
      <c r="B88" s="54"/>
      <c r="C88" s="56"/>
      <c r="D88" s="56"/>
      <c r="E88" s="56">
        <f t="shared" si="1"/>
        <v>0</v>
      </c>
      <c r="F88" s="77"/>
      <c r="G88" s="76"/>
      <c r="H88" s="54"/>
    </row>
    <row r="89" spans="1:8">
      <c r="A89" s="74"/>
      <c r="B89" s="54"/>
      <c r="C89" s="56"/>
      <c r="D89" s="56"/>
      <c r="E89" s="56">
        <f t="shared" si="1"/>
        <v>0</v>
      </c>
      <c r="F89" s="77"/>
      <c r="G89" s="76"/>
      <c r="H89" s="54"/>
    </row>
    <row r="90" spans="1:8">
      <c r="A90" s="74"/>
      <c r="B90" s="54"/>
      <c r="C90" s="56"/>
      <c r="D90" s="56"/>
      <c r="E90" s="56">
        <f t="shared" si="1"/>
        <v>0</v>
      </c>
      <c r="F90" s="77"/>
      <c r="G90" s="76"/>
      <c r="H90" s="54"/>
    </row>
    <row r="91" spans="1:8">
      <c r="A91" s="74"/>
      <c r="B91" s="54"/>
      <c r="C91" s="56"/>
      <c r="D91" s="56"/>
      <c r="E91" s="56">
        <f t="shared" si="1"/>
        <v>0</v>
      </c>
      <c r="F91" s="77"/>
      <c r="G91" s="76"/>
      <c r="H91" s="54"/>
    </row>
    <row r="92" spans="1:8">
      <c r="A92" s="74"/>
      <c r="B92" s="54"/>
      <c r="C92" s="56"/>
      <c r="D92" s="56"/>
      <c r="E92" s="56">
        <f t="shared" si="1"/>
        <v>0</v>
      </c>
      <c r="F92" s="77"/>
      <c r="G92" s="76"/>
      <c r="H92" s="54"/>
    </row>
    <row r="93" spans="1:8">
      <c r="A93" s="74"/>
      <c r="B93" s="54"/>
      <c r="C93" s="56"/>
      <c r="D93" s="56"/>
      <c r="E93" s="56">
        <f t="shared" si="1"/>
        <v>0</v>
      </c>
      <c r="F93" s="78"/>
      <c r="G93" s="76"/>
      <c r="H93" s="54"/>
    </row>
    <row r="94" spans="1:8">
      <c r="A94" s="74"/>
      <c r="B94" s="54"/>
      <c r="C94" s="56"/>
      <c r="D94" s="56"/>
      <c r="E94" s="56">
        <f t="shared" si="1"/>
        <v>0</v>
      </c>
      <c r="F94" s="77"/>
      <c r="G94" s="81"/>
      <c r="H94" s="54"/>
    </row>
    <row r="95" spans="1:8">
      <c r="A95" s="74"/>
      <c r="B95" s="54"/>
      <c r="C95" s="56"/>
      <c r="D95" s="56"/>
      <c r="E95" s="56">
        <f t="shared" si="1"/>
        <v>0</v>
      </c>
      <c r="F95" s="77"/>
      <c r="G95" s="76"/>
      <c r="H95" s="54"/>
    </row>
    <row r="96" spans="1:8">
      <c r="A96" s="74"/>
      <c r="B96" s="54"/>
      <c r="C96" s="56"/>
      <c r="D96" s="56"/>
      <c r="E96" s="56">
        <f t="shared" si="1"/>
        <v>0</v>
      </c>
      <c r="F96" s="77"/>
      <c r="G96" s="76"/>
      <c r="H96" s="54"/>
    </row>
    <row r="97" spans="1:8">
      <c r="A97" s="74"/>
      <c r="B97" s="54"/>
      <c r="C97" s="56"/>
      <c r="D97" s="56"/>
      <c r="E97" s="56">
        <f t="shared" si="1"/>
        <v>0</v>
      </c>
      <c r="F97" s="77"/>
      <c r="G97" s="69"/>
      <c r="H97" s="82"/>
    </row>
    <row r="98" spans="1:8">
      <c r="A98" s="74"/>
      <c r="B98" s="54"/>
      <c r="C98" s="56"/>
      <c r="D98" s="56"/>
      <c r="E98" s="56">
        <f t="shared" si="1"/>
        <v>0</v>
      </c>
      <c r="F98" s="77"/>
      <c r="G98" s="76"/>
      <c r="H98" s="82"/>
    </row>
    <row r="99" spans="1:8">
      <c r="A99" s="74"/>
      <c r="B99" s="54"/>
      <c r="C99" s="56"/>
      <c r="D99" s="56"/>
      <c r="E99" s="56">
        <f t="shared" si="1"/>
        <v>0</v>
      </c>
      <c r="F99" s="77"/>
      <c r="G99" s="76"/>
      <c r="H99" s="54"/>
    </row>
    <row r="100" spans="1:8" s="71" customFormat="1">
      <c r="A100" s="74"/>
      <c r="B100" s="54"/>
      <c r="C100" s="56"/>
      <c r="D100" s="56"/>
      <c r="E100" s="56">
        <f t="shared" si="1"/>
        <v>0</v>
      </c>
      <c r="F100" s="77"/>
      <c r="G100" s="69"/>
      <c r="H100" s="82"/>
    </row>
    <row r="101" spans="1:8">
      <c r="A101" s="74"/>
      <c r="B101" s="54"/>
      <c r="C101" s="56"/>
      <c r="D101" s="56"/>
      <c r="E101" s="56">
        <f t="shared" si="1"/>
        <v>0</v>
      </c>
      <c r="F101" s="77"/>
      <c r="G101" s="76"/>
      <c r="H101" s="54"/>
    </row>
    <row r="102" spans="1:8">
      <c r="A102" s="74"/>
      <c r="B102" s="54"/>
      <c r="C102" s="56"/>
      <c r="D102" s="56"/>
      <c r="E102" s="56">
        <f t="shared" si="1"/>
        <v>0</v>
      </c>
      <c r="F102" s="77"/>
      <c r="G102" s="76"/>
      <c r="H102" s="54"/>
    </row>
    <row r="103" spans="1:8" s="71" customFormat="1">
      <c r="A103" s="74"/>
      <c r="B103" s="54"/>
      <c r="C103" s="56"/>
      <c r="D103" s="56"/>
      <c r="E103" s="56">
        <f t="shared" si="1"/>
        <v>0</v>
      </c>
      <c r="F103" s="77"/>
      <c r="G103" s="69"/>
      <c r="H103" s="82"/>
    </row>
    <row r="104" spans="1:8">
      <c r="A104" s="74"/>
      <c r="B104" s="54"/>
      <c r="C104" s="56"/>
      <c r="D104" s="56"/>
      <c r="E104" s="56">
        <f t="shared" si="1"/>
        <v>0</v>
      </c>
      <c r="F104" s="77"/>
      <c r="G104" s="76"/>
      <c r="H104" s="54"/>
    </row>
    <row r="105" spans="1:8">
      <c r="A105" s="74"/>
      <c r="B105" s="54"/>
      <c r="C105" s="56"/>
      <c r="D105" s="56"/>
      <c r="E105" s="56">
        <f t="shared" si="1"/>
        <v>0</v>
      </c>
      <c r="F105" s="77"/>
      <c r="G105" s="76"/>
      <c r="H105" s="54"/>
    </row>
    <row r="106" spans="1:8">
      <c r="A106" s="74"/>
      <c r="B106" s="54"/>
      <c r="C106" s="56"/>
      <c r="D106" s="56"/>
      <c r="E106" s="56">
        <f t="shared" si="1"/>
        <v>0</v>
      </c>
      <c r="F106" s="77"/>
      <c r="G106" s="76"/>
      <c r="H106" s="54"/>
    </row>
    <row r="107" spans="1:8" s="71" customFormat="1">
      <c r="A107" s="74"/>
      <c r="B107" s="54"/>
      <c r="C107" s="56"/>
      <c r="D107" s="56"/>
      <c r="E107" s="56">
        <f t="shared" si="1"/>
        <v>0</v>
      </c>
      <c r="F107" s="77"/>
      <c r="G107" s="76"/>
      <c r="H107" s="54"/>
    </row>
    <row r="108" spans="1:8" s="71" customFormat="1">
      <c r="A108" s="74"/>
      <c r="B108" s="54"/>
      <c r="C108" s="56"/>
      <c r="D108" s="56"/>
      <c r="E108" s="56">
        <f t="shared" si="1"/>
        <v>0</v>
      </c>
      <c r="F108" s="77"/>
      <c r="G108" s="76"/>
      <c r="H108" s="54"/>
    </row>
    <row r="109" spans="1:8" s="71" customFormat="1">
      <c r="A109" s="74"/>
      <c r="B109" s="54"/>
      <c r="C109" s="56"/>
      <c r="D109" s="56"/>
      <c r="E109" s="56">
        <f t="shared" si="1"/>
        <v>0</v>
      </c>
      <c r="F109" s="77"/>
      <c r="G109" s="76"/>
      <c r="H109" s="54"/>
    </row>
    <row r="110" spans="1:8">
      <c r="A110" s="74"/>
      <c r="B110" s="54"/>
      <c r="C110" s="56"/>
      <c r="D110" s="56"/>
      <c r="E110" s="56">
        <f t="shared" si="1"/>
        <v>0</v>
      </c>
      <c r="F110" s="77"/>
      <c r="G110" s="76"/>
      <c r="H110" s="54"/>
    </row>
    <row r="111" spans="1:8" s="71" customFormat="1">
      <c r="A111" s="74"/>
      <c r="B111" s="54"/>
      <c r="C111" s="56"/>
      <c r="D111" s="56"/>
      <c r="E111" s="56">
        <f t="shared" si="1"/>
        <v>0</v>
      </c>
      <c r="F111" s="77"/>
      <c r="G111" s="76"/>
      <c r="H111" s="54"/>
    </row>
    <row r="112" spans="1:8">
      <c r="A112" s="74"/>
      <c r="B112" s="54"/>
      <c r="C112" s="56"/>
      <c r="D112" s="56"/>
      <c r="E112" s="56">
        <f t="shared" si="1"/>
        <v>0</v>
      </c>
      <c r="F112" s="77"/>
      <c r="G112" s="76"/>
      <c r="H112" s="54"/>
    </row>
    <row r="113" spans="1:8">
      <c r="A113" s="74"/>
      <c r="B113" s="54"/>
      <c r="C113" s="56"/>
      <c r="D113" s="56"/>
      <c r="E113" s="56">
        <f t="shared" si="1"/>
        <v>0</v>
      </c>
      <c r="F113" s="77"/>
      <c r="G113" s="76"/>
      <c r="H113" s="54"/>
    </row>
    <row r="114" spans="1:8">
      <c r="A114" s="74"/>
      <c r="B114" s="54"/>
      <c r="C114" s="56"/>
      <c r="D114" s="56"/>
      <c r="E114" s="56">
        <f t="shared" si="1"/>
        <v>0</v>
      </c>
      <c r="F114" s="77"/>
      <c r="G114" s="76"/>
      <c r="H114" s="54"/>
    </row>
    <row r="115" spans="1:8">
      <c r="A115" s="74"/>
      <c r="B115" s="54"/>
      <c r="C115" s="56"/>
      <c r="D115" s="56"/>
      <c r="E115" s="56">
        <f t="shared" si="1"/>
        <v>0</v>
      </c>
      <c r="F115" s="77"/>
      <c r="G115" s="76"/>
      <c r="H115" s="54"/>
    </row>
    <row r="116" spans="1:8">
      <c r="A116" s="74"/>
      <c r="B116" s="54"/>
      <c r="C116" s="56"/>
      <c r="D116" s="56"/>
      <c r="E116" s="56">
        <f t="shared" si="1"/>
        <v>0</v>
      </c>
      <c r="F116" s="77"/>
      <c r="G116" s="76"/>
      <c r="H116" s="54"/>
    </row>
    <row r="117" spans="1:8">
      <c r="A117" s="74"/>
      <c r="B117" s="54"/>
      <c r="C117" s="56"/>
      <c r="D117" s="56"/>
      <c r="E117" s="56">
        <f t="shared" si="1"/>
        <v>0</v>
      </c>
      <c r="F117" s="77"/>
      <c r="G117" s="76"/>
      <c r="H117" s="54"/>
    </row>
    <row r="118" spans="1:8">
      <c r="A118" s="74"/>
      <c r="B118" s="54"/>
      <c r="C118" s="56"/>
      <c r="D118" s="56"/>
      <c r="E118" s="56">
        <f t="shared" si="1"/>
        <v>0</v>
      </c>
      <c r="F118" s="77"/>
      <c r="G118" s="76"/>
      <c r="H118" s="54"/>
    </row>
    <row r="119" spans="1:8">
      <c r="A119" s="74"/>
      <c r="B119" s="54"/>
      <c r="C119" s="56"/>
      <c r="D119" s="56"/>
      <c r="E119" s="56">
        <f t="shared" si="1"/>
        <v>0</v>
      </c>
      <c r="F119" s="77"/>
      <c r="G119" s="69"/>
      <c r="H119" s="54"/>
    </row>
    <row r="120" spans="1:8">
      <c r="A120" s="74"/>
      <c r="B120" s="54"/>
      <c r="C120" s="56"/>
      <c r="D120" s="56"/>
      <c r="E120" s="56">
        <f t="shared" si="1"/>
        <v>0</v>
      </c>
      <c r="F120" s="77"/>
      <c r="G120" s="69"/>
      <c r="H120" s="54"/>
    </row>
    <row r="121" spans="1:8">
      <c r="A121" s="74"/>
      <c r="B121" s="54"/>
      <c r="C121" s="56"/>
      <c r="D121" s="56"/>
      <c r="E121" s="56">
        <f t="shared" si="1"/>
        <v>0</v>
      </c>
      <c r="F121" s="77"/>
      <c r="G121" s="69"/>
      <c r="H121" s="54"/>
    </row>
    <row r="122" spans="1:8">
      <c r="A122" s="74"/>
      <c r="B122" s="54"/>
      <c r="C122" s="56"/>
      <c r="D122" s="56"/>
      <c r="E122" s="56">
        <f t="shared" si="1"/>
        <v>0</v>
      </c>
      <c r="F122" s="77"/>
      <c r="G122" s="76"/>
      <c r="H122" s="54"/>
    </row>
    <row r="123" spans="1:8">
      <c r="A123" s="83"/>
      <c r="B123" s="54"/>
      <c r="C123" s="56"/>
      <c r="D123" s="84"/>
      <c r="E123" s="56">
        <f t="shared" si="1"/>
        <v>0</v>
      </c>
      <c r="F123" s="77"/>
      <c r="G123" s="76"/>
      <c r="H123" s="54"/>
    </row>
    <row r="124" spans="1:8">
      <c r="A124" s="74"/>
      <c r="B124" s="54"/>
      <c r="C124" s="56"/>
      <c r="D124" s="56"/>
      <c r="E124" s="56">
        <f t="shared" si="1"/>
        <v>0</v>
      </c>
      <c r="F124" s="77"/>
      <c r="G124" s="69"/>
      <c r="H124" s="54"/>
    </row>
    <row r="125" spans="1:8">
      <c r="A125" s="74"/>
      <c r="B125" s="54"/>
      <c r="C125" s="56"/>
      <c r="D125" s="56"/>
      <c r="E125" s="56">
        <f t="shared" si="1"/>
        <v>0</v>
      </c>
      <c r="F125" s="77"/>
      <c r="G125" s="76"/>
      <c r="H125" s="54"/>
    </row>
    <row r="126" spans="1:8">
      <c r="A126" s="74"/>
      <c r="B126" s="54"/>
      <c r="C126" s="56"/>
      <c r="D126" s="56"/>
      <c r="E126" s="56">
        <f t="shared" si="1"/>
        <v>0</v>
      </c>
      <c r="F126" s="77"/>
      <c r="G126" s="76"/>
      <c r="H126" s="54"/>
    </row>
    <row r="127" spans="1:8">
      <c r="A127" s="74"/>
      <c r="B127" s="54"/>
      <c r="C127" s="56"/>
      <c r="D127" s="56"/>
      <c r="E127" s="56">
        <f t="shared" si="1"/>
        <v>0</v>
      </c>
      <c r="F127" s="77"/>
      <c r="G127" s="76"/>
      <c r="H127" s="54"/>
    </row>
    <row r="128" spans="1:8">
      <c r="A128" s="74"/>
      <c r="B128" s="54"/>
      <c r="C128" s="56"/>
      <c r="D128" s="56"/>
      <c r="E128" s="56">
        <f t="shared" si="1"/>
        <v>0</v>
      </c>
      <c r="F128" s="77"/>
      <c r="G128" s="76"/>
      <c r="H128" s="54"/>
    </row>
    <row r="129" spans="1:8">
      <c r="A129" s="83"/>
      <c r="B129" s="54"/>
      <c r="C129" s="56"/>
      <c r="D129" s="56"/>
      <c r="E129" s="56">
        <f t="shared" si="1"/>
        <v>0</v>
      </c>
      <c r="F129" s="77"/>
      <c r="G129" s="76"/>
      <c r="H129" s="54"/>
    </row>
    <row r="130" spans="1:8">
      <c r="A130" s="74"/>
      <c r="B130" s="54"/>
      <c r="C130" s="56"/>
      <c r="D130" s="56"/>
      <c r="E130" s="56">
        <f t="shared" si="1"/>
        <v>0</v>
      </c>
      <c r="F130" s="77"/>
      <c r="G130" s="76"/>
      <c r="H130" s="54"/>
    </row>
    <row r="131" spans="1:8" s="71" customFormat="1">
      <c r="A131" s="74"/>
      <c r="B131" s="54"/>
      <c r="C131" s="56"/>
      <c r="D131" s="56"/>
      <c r="E131" s="56">
        <f t="shared" si="1"/>
        <v>0</v>
      </c>
      <c r="F131" s="77"/>
      <c r="G131" s="76"/>
      <c r="H131" s="54"/>
    </row>
    <row r="132" spans="1:8">
      <c r="A132" s="74"/>
      <c r="B132" s="54"/>
      <c r="C132" s="56"/>
      <c r="D132" s="56"/>
      <c r="E132" s="56">
        <f t="shared" si="1"/>
        <v>0</v>
      </c>
      <c r="F132" s="77"/>
      <c r="G132" s="76"/>
      <c r="H132" s="54"/>
    </row>
    <row r="133" spans="1:8">
      <c r="A133" s="74"/>
      <c r="B133" s="54"/>
      <c r="C133" s="56"/>
      <c r="D133" s="56"/>
      <c r="E133" s="56">
        <f t="shared" si="1"/>
        <v>0</v>
      </c>
      <c r="F133" s="77"/>
      <c r="G133" s="76"/>
      <c r="H133" s="54"/>
    </row>
    <row r="134" spans="1:8">
      <c r="A134" s="74"/>
      <c r="B134" s="54"/>
      <c r="C134" s="56"/>
      <c r="D134" s="56"/>
      <c r="E134" s="56">
        <f t="shared" si="1"/>
        <v>0</v>
      </c>
      <c r="F134" s="77"/>
      <c r="G134" s="76"/>
      <c r="H134" s="54"/>
    </row>
    <row r="135" spans="1:8">
      <c r="A135" s="74"/>
      <c r="B135" s="54"/>
      <c r="C135" s="56"/>
      <c r="D135" s="56"/>
      <c r="E135" s="56">
        <f t="shared" si="1"/>
        <v>0</v>
      </c>
      <c r="F135" s="77"/>
      <c r="G135" s="76"/>
      <c r="H135" s="54"/>
    </row>
    <row r="136" spans="1:8">
      <c r="A136" s="74"/>
      <c r="B136" s="54"/>
      <c r="C136" s="56"/>
      <c r="D136" s="56"/>
      <c r="E136" s="56">
        <f t="shared" ref="E136:E163" si="2">E135-C136+D136</f>
        <v>0</v>
      </c>
      <c r="F136" s="77"/>
      <c r="G136" s="76"/>
      <c r="H136" s="54"/>
    </row>
    <row r="137" spans="1:8">
      <c r="A137" s="74"/>
      <c r="B137" s="54"/>
      <c r="C137" s="56"/>
      <c r="D137" s="56"/>
      <c r="E137" s="56">
        <f t="shared" si="2"/>
        <v>0</v>
      </c>
      <c r="F137" s="77"/>
      <c r="G137" s="76"/>
      <c r="H137" s="82"/>
    </row>
    <row r="138" spans="1:8">
      <c r="A138" s="74"/>
      <c r="B138" s="54"/>
      <c r="C138" s="56"/>
      <c r="D138" s="56"/>
      <c r="E138" s="56">
        <f t="shared" si="2"/>
        <v>0</v>
      </c>
      <c r="F138" s="77"/>
      <c r="G138" s="76"/>
      <c r="H138" s="54"/>
    </row>
    <row r="139" spans="1:8">
      <c r="A139" s="74"/>
      <c r="B139" s="54"/>
      <c r="C139" s="56"/>
      <c r="D139" s="56"/>
      <c r="E139" s="56">
        <f t="shared" si="2"/>
        <v>0</v>
      </c>
      <c r="F139" s="77"/>
      <c r="G139" s="76"/>
      <c r="H139" s="54"/>
    </row>
    <row r="140" spans="1:8">
      <c r="A140" s="74"/>
      <c r="B140" s="54"/>
      <c r="C140" s="56"/>
      <c r="D140" s="56"/>
      <c r="E140" s="56">
        <f t="shared" si="2"/>
        <v>0</v>
      </c>
      <c r="F140" s="77"/>
      <c r="G140" s="76"/>
      <c r="H140" s="54"/>
    </row>
    <row r="141" spans="1:8">
      <c r="A141" s="74"/>
      <c r="B141" s="54"/>
      <c r="C141" s="56"/>
      <c r="D141" s="56"/>
      <c r="E141" s="56">
        <f t="shared" si="2"/>
        <v>0</v>
      </c>
      <c r="F141" s="77"/>
      <c r="G141" s="76"/>
      <c r="H141" s="54"/>
    </row>
    <row r="142" spans="1:8">
      <c r="A142" s="74"/>
      <c r="B142" s="54"/>
      <c r="C142" s="56"/>
      <c r="D142" s="56"/>
      <c r="E142" s="56">
        <f t="shared" si="2"/>
        <v>0</v>
      </c>
      <c r="F142" s="77"/>
      <c r="G142" s="76"/>
      <c r="H142" s="54"/>
    </row>
    <row r="143" spans="1:8">
      <c r="A143" s="74"/>
      <c r="B143" s="54"/>
      <c r="C143" s="56"/>
      <c r="D143" s="56"/>
      <c r="E143" s="56">
        <f t="shared" si="2"/>
        <v>0</v>
      </c>
      <c r="F143" s="77"/>
      <c r="G143" s="76"/>
      <c r="H143" s="54"/>
    </row>
    <row r="144" spans="1:8">
      <c r="A144" s="74"/>
      <c r="B144" s="54"/>
      <c r="C144" s="56"/>
      <c r="D144" s="56"/>
      <c r="E144" s="56">
        <f t="shared" si="2"/>
        <v>0</v>
      </c>
      <c r="F144" s="77"/>
      <c r="G144" s="76"/>
      <c r="H144" s="54"/>
    </row>
    <row r="145" spans="1:8">
      <c r="A145" s="74"/>
      <c r="B145" s="54"/>
      <c r="C145" s="56"/>
      <c r="D145" s="56"/>
      <c r="E145" s="56">
        <f t="shared" si="2"/>
        <v>0</v>
      </c>
      <c r="F145" s="77"/>
      <c r="G145" s="76"/>
      <c r="H145" s="54"/>
    </row>
    <row r="146" spans="1:8">
      <c r="A146" s="74"/>
      <c r="B146" s="54"/>
      <c r="C146" s="56"/>
      <c r="D146" s="56"/>
      <c r="E146" s="56">
        <f t="shared" si="2"/>
        <v>0</v>
      </c>
      <c r="F146" s="77"/>
      <c r="G146" s="76"/>
      <c r="H146" s="54"/>
    </row>
    <row r="147" spans="1:8">
      <c r="A147" s="74"/>
      <c r="B147" s="54"/>
      <c r="C147" s="56"/>
      <c r="D147" s="56"/>
      <c r="E147" s="56">
        <f t="shared" si="2"/>
        <v>0</v>
      </c>
      <c r="F147" s="77"/>
      <c r="G147" s="76"/>
      <c r="H147" s="54"/>
    </row>
    <row r="148" spans="1:8">
      <c r="A148" s="74"/>
      <c r="B148" s="54"/>
      <c r="C148" s="56"/>
      <c r="D148" s="56"/>
      <c r="E148" s="56">
        <f t="shared" si="2"/>
        <v>0</v>
      </c>
      <c r="F148" s="77"/>
      <c r="G148" s="76"/>
      <c r="H148" s="54"/>
    </row>
    <row r="149" spans="1:8">
      <c r="A149" s="74"/>
      <c r="B149" s="54"/>
      <c r="C149" s="56"/>
      <c r="D149" s="56"/>
      <c r="E149" s="56">
        <f t="shared" si="2"/>
        <v>0</v>
      </c>
      <c r="F149" s="77"/>
      <c r="G149" s="76"/>
      <c r="H149" s="54"/>
    </row>
    <row r="150" spans="1:8" s="71" customFormat="1">
      <c r="A150" s="74"/>
      <c r="B150" s="54"/>
      <c r="C150" s="56"/>
      <c r="D150" s="56"/>
      <c r="E150" s="56">
        <f t="shared" si="2"/>
        <v>0</v>
      </c>
      <c r="F150" s="77"/>
      <c r="G150" s="76"/>
      <c r="H150" s="54"/>
    </row>
    <row r="151" spans="1:8">
      <c r="A151" s="74"/>
      <c r="B151" s="54"/>
      <c r="C151" s="56"/>
      <c r="D151" s="56"/>
      <c r="E151" s="56">
        <f t="shared" si="2"/>
        <v>0</v>
      </c>
      <c r="F151" s="78"/>
      <c r="G151" s="76"/>
      <c r="H151" s="54"/>
    </row>
    <row r="152" spans="1:8">
      <c r="A152" s="74"/>
      <c r="B152" s="54"/>
      <c r="C152" s="56"/>
      <c r="D152" s="56"/>
      <c r="E152" s="56">
        <f t="shared" si="2"/>
        <v>0</v>
      </c>
      <c r="F152" s="77"/>
      <c r="G152" s="54"/>
      <c r="H152" s="54"/>
    </row>
    <row r="153" spans="1:8">
      <c r="A153" s="74"/>
      <c r="B153" s="54"/>
      <c r="C153" s="56"/>
      <c r="D153" s="56"/>
      <c r="E153" s="56">
        <f t="shared" si="2"/>
        <v>0</v>
      </c>
      <c r="F153" s="77"/>
      <c r="G153" s="76"/>
      <c r="H153" s="54"/>
    </row>
    <row r="154" spans="1:8">
      <c r="A154" s="74"/>
      <c r="B154" s="54"/>
      <c r="C154" s="56"/>
      <c r="D154" s="56"/>
      <c r="E154" s="56">
        <f t="shared" si="2"/>
        <v>0</v>
      </c>
      <c r="F154" s="77"/>
      <c r="G154" s="76"/>
      <c r="H154" s="54"/>
    </row>
    <row r="155" spans="1:8">
      <c r="A155" s="74"/>
      <c r="B155" s="54"/>
      <c r="C155" s="56"/>
      <c r="D155" s="56"/>
      <c r="E155" s="56">
        <f t="shared" si="2"/>
        <v>0</v>
      </c>
      <c r="F155" s="77"/>
      <c r="G155" s="76"/>
      <c r="H155" s="54"/>
    </row>
    <row r="156" spans="1:8">
      <c r="A156" s="74"/>
      <c r="B156" s="54"/>
      <c r="C156" s="56"/>
      <c r="D156" s="56"/>
      <c r="E156" s="56">
        <f t="shared" si="2"/>
        <v>0</v>
      </c>
      <c r="F156" s="77"/>
      <c r="G156" s="76"/>
      <c r="H156" s="54"/>
    </row>
    <row r="157" spans="1:8">
      <c r="A157" s="74"/>
      <c r="B157" s="54"/>
      <c r="C157" s="56"/>
      <c r="D157" s="56"/>
      <c r="E157" s="56">
        <f t="shared" si="2"/>
        <v>0</v>
      </c>
      <c r="F157" s="77"/>
      <c r="G157" s="76"/>
      <c r="H157" s="54"/>
    </row>
    <row r="158" spans="1:8">
      <c r="A158" s="74"/>
      <c r="B158" s="54"/>
      <c r="C158" s="56"/>
      <c r="D158" s="56"/>
      <c r="E158" s="56">
        <f t="shared" si="2"/>
        <v>0</v>
      </c>
      <c r="F158" s="77"/>
      <c r="G158" s="76"/>
      <c r="H158" s="54"/>
    </row>
    <row r="159" spans="1:8">
      <c r="A159" s="74"/>
      <c r="B159" s="54"/>
      <c r="C159" s="56"/>
      <c r="D159" s="56"/>
      <c r="E159" s="56">
        <f t="shared" si="2"/>
        <v>0</v>
      </c>
      <c r="F159" s="77"/>
      <c r="G159" s="76"/>
      <c r="H159" s="54"/>
    </row>
    <row r="160" spans="1:8">
      <c r="A160" s="74"/>
      <c r="B160" s="54"/>
      <c r="C160" s="56"/>
      <c r="D160" s="56"/>
      <c r="E160" s="56">
        <f t="shared" si="2"/>
        <v>0</v>
      </c>
      <c r="F160" s="77"/>
      <c r="G160" s="76"/>
      <c r="H160" s="54"/>
    </row>
    <row r="161" spans="1:8">
      <c r="A161" s="74"/>
      <c r="B161" s="54"/>
      <c r="C161" s="56"/>
      <c r="D161" s="56"/>
      <c r="E161" s="56">
        <f t="shared" si="2"/>
        <v>0</v>
      </c>
      <c r="F161" s="77"/>
      <c r="G161" s="76"/>
      <c r="H161" s="54"/>
    </row>
    <row r="162" spans="1:8">
      <c r="A162" s="74"/>
      <c r="B162" s="54"/>
      <c r="C162" s="56"/>
      <c r="D162" s="56"/>
      <c r="E162" s="56">
        <f t="shared" si="2"/>
        <v>0</v>
      </c>
      <c r="F162" s="77"/>
      <c r="G162" s="76"/>
      <c r="H162" s="54"/>
    </row>
    <row r="163" spans="1:8">
      <c r="A163" s="74"/>
      <c r="B163" s="54"/>
      <c r="C163" s="56"/>
      <c r="D163" s="56"/>
      <c r="E163" s="56">
        <f t="shared" si="2"/>
        <v>0</v>
      </c>
      <c r="F163" s="77"/>
      <c r="G163" s="76"/>
      <c r="H163" s="54"/>
    </row>
    <row r="164" spans="1:8">
      <c r="C164" s="70">
        <f>SUM(C7:C163)</f>
        <v>0</v>
      </c>
      <c r="D164" s="70">
        <f>SUM(D7:D163)</f>
        <v>0</v>
      </c>
      <c r="F164" s="67"/>
    </row>
    <row r="168" spans="1:8">
      <c r="H168" t="s">
        <v>435</v>
      </c>
    </row>
  </sheetData>
  <autoFilter ref="A5:H5" xr:uid="{163EE640-5476-4526-A73E-2E8E04840C34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9BCD-F39B-4B5D-AD74-234ABFD35CF6}">
  <dimension ref="A1:H168"/>
  <sheetViews>
    <sheetView zoomScale="175" zoomScaleNormal="175" workbookViewId="0">
      <selection activeCell="A3" sqref="A3"/>
    </sheetView>
  </sheetViews>
  <sheetFormatPr baseColWidth="10" defaultColWidth="11.42578125" defaultRowHeight="15"/>
  <cols>
    <col min="2" max="2" width="22.28515625" customWidth="1"/>
    <col min="3" max="3" width="12.85546875" customWidth="1"/>
    <col min="4" max="4" width="12.7109375" customWidth="1"/>
    <col min="5" max="5" width="12.28515625" customWidth="1"/>
    <col min="6" max="6" width="10.140625" style="68" customWidth="1"/>
    <col min="7" max="7" width="65.42578125" customWidth="1"/>
    <col min="8" max="8" width="59.28515625" customWidth="1"/>
  </cols>
  <sheetData>
    <row r="1" spans="1:8">
      <c r="A1" s="15"/>
      <c r="B1" s="15"/>
      <c r="C1" s="32"/>
      <c r="D1" s="32"/>
      <c r="E1" s="28" t="s">
        <v>0</v>
      </c>
      <c r="F1" s="65"/>
      <c r="G1" s="29"/>
      <c r="H1" s="29"/>
    </row>
    <row r="2" spans="1:8">
      <c r="A2" s="30" t="s">
        <v>552</v>
      </c>
      <c r="B2" s="15"/>
      <c r="C2" s="32"/>
      <c r="D2" s="32"/>
      <c r="E2" s="28" t="s">
        <v>2</v>
      </c>
      <c r="F2" s="65"/>
      <c r="G2" s="29"/>
      <c r="H2" s="29"/>
    </row>
    <row r="3" spans="1:8">
      <c r="A3" s="30" t="s">
        <v>553</v>
      </c>
      <c r="B3" s="15"/>
      <c r="C3" s="32"/>
      <c r="D3" s="32"/>
      <c r="E3" s="28" t="s">
        <v>4</v>
      </c>
      <c r="F3" s="65"/>
      <c r="G3" s="29"/>
      <c r="H3" s="29"/>
    </row>
    <row r="4" spans="1:8">
      <c r="A4" s="29"/>
      <c r="B4" s="29"/>
      <c r="C4" s="31"/>
      <c r="D4" s="31"/>
      <c r="E4" s="29"/>
      <c r="F4" s="66"/>
      <c r="G4" s="29"/>
      <c r="H4" s="29"/>
    </row>
    <row r="5" spans="1:8">
      <c r="A5" s="7" t="s">
        <v>5</v>
      </c>
      <c r="B5" s="7" t="s">
        <v>6</v>
      </c>
      <c r="C5" s="33" t="s">
        <v>7</v>
      </c>
      <c r="D5" s="33" t="s">
        <v>8</v>
      </c>
      <c r="E5" s="9" t="s">
        <v>9</v>
      </c>
      <c r="F5" s="64" t="s">
        <v>432</v>
      </c>
      <c r="G5" s="63" t="s">
        <v>433</v>
      </c>
      <c r="H5" s="54" t="s">
        <v>434</v>
      </c>
    </row>
    <row r="6" spans="1:8">
      <c r="A6" s="10"/>
      <c r="B6" s="10" t="s">
        <v>11</v>
      </c>
      <c r="C6" s="48"/>
      <c r="D6" s="48">
        <v>0</v>
      </c>
      <c r="E6" s="45"/>
      <c r="F6" s="63"/>
      <c r="G6" s="63"/>
      <c r="H6" s="45"/>
    </row>
    <row r="7" spans="1:8" s="71" customFormat="1">
      <c r="A7" s="74"/>
      <c r="B7" s="54"/>
      <c r="C7" s="56"/>
      <c r="D7" s="56"/>
      <c r="E7" s="56">
        <f>D6-C7+D7</f>
        <v>0</v>
      </c>
      <c r="F7" s="75"/>
      <c r="G7" s="76"/>
      <c r="H7" s="54"/>
    </row>
    <row r="8" spans="1:8">
      <c r="A8" s="74"/>
      <c r="B8" s="54"/>
      <c r="C8" s="56"/>
      <c r="D8" s="56"/>
      <c r="E8" s="56">
        <f t="shared" ref="E8:E71" si="0">E7-C8+D8</f>
        <v>0</v>
      </c>
      <c r="F8" s="75"/>
      <c r="G8" s="76"/>
      <c r="H8" s="54"/>
    </row>
    <row r="9" spans="1:8">
      <c r="A9" s="74"/>
      <c r="B9" s="54"/>
      <c r="C9" s="56"/>
      <c r="D9" s="56"/>
      <c r="E9" s="56">
        <f t="shared" si="0"/>
        <v>0</v>
      </c>
      <c r="F9" s="77"/>
      <c r="G9" s="76"/>
      <c r="H9" s="54"/>
    </row>
    <row r="10" spans="1:8">
      <c r="A10" s="74"/>
      <c r="B10" s="54"/>
      <c r="C10" s="56"/>
      <c r="D10" s="56"/>
      <c r="E10" s="56">
        <f t="shared" si="0"/>
        <v>0</v>
      </c>
      <c r="F10" s="77"/>
      <c r="G10" s="76"/>
      <c r="H10" s="54"/>
    </row>
    <row r="11" spans="1:8">
      <c r="A11" s="74"/>
      <c r="B11" s="54"/>
      <c r="C11" s="56"/>
      <c r="D11" s="56"/>
      <c r="E11" s="56">
        <f t="shared" si="0"/>
        <v>0</v>
      </c>
      <c r="F11" s="77"/>
      <c r="G11" s="76"/>
      <c r="H11" s="54"/>
    </row>
    <row r="12" spans="1:8">
      <c r="A12" s="74"/>
      <c r="B12" s="54"/>
      <c r="C12" s="56"/>
      <c r="D12" s="56"/>
      <c r="E12" s="56">
        <f t="shared" si="0"/>
        <v>0</v>
      </c>
      <c r="F12" s="77"/>
      <c r="G12" s="76"/>
      <c r="H12" s="54"/>
    </row>
    <row r="13" spans="1:8">
      <c r="A13" s="74"/>
      <c r="B13" s="54"/>
      <c r="C13" s="56"/>
      <c r="D13" s="56"/>
      <c r="E13" s="56">
        <f t="shared" si="0"/>
        <v>0</v>
      </c>
      <c r="F13" s="77"/>
      <c r="G13" s="76"/>
      <c r="H13" s="54"/>
    </row>
    <row r="14" spans="1:8">
      <c r="A14" s="74"/>
      <c r="B14" s="54"/>
      <c r="C14" s="56"/>
      <c r="D14" s="56"/>
      <c r="E14" s="56">
        <f t="shared" si="0"/>
        <v>0</v>
      </c>
      <c r="F14" s="75"/>
      <c r="G14" s="76"/>
      <c r="H14" s="54"/>
    </row>
    <row r="15" spans="1:8">
      <c r="A15" s="74"/>
      <c r="B15" s="54"/>
      <c r="C15" s="56"/>
      <c r="D15" s="56"/>
      <c r="E15" s="56">
        <f t="shared" si="0"/>
        <v>0</v>
      </c>
      <c r="F15" s="77"/>
      <c r="G15" s="76"/>
      <c r="H15" s="54"/>
    </row>
    <row r="16" spans="1:8">
      <c r="A16" s="74"/>
      <c r="B16" s="54"/>
      <c r="C16" s="56"/>
      <c r="D16" s="56"/>
      <c r="E16" s="56">
        <f t="shared" si="0"/>
        <v>0</v>
      </c>
      <c r="F16" s="77"/>
      <c r="G16" s="76"/>
      <c r="H16" s="54"/>
    </row>
    <row r="17" spans="1:8">
      <c r="A17" s="74"/>
      <c r="B17" s="54"/>
      <c r="C17" s="56"/>
      <c r="D17" s="56"/>
      <c r="E17" s="56">
        <f t="shared" si="0"/>
        <v>0</v>
      </c>
      <c r="F17" s="77"/>
      <c r="G17" s="76"/>
      <c r="H17" s="54"/>
    </row>
    <row r="18" spans="1:8">
      <c r="A18" s="74"/>
      <c r="B18" s="54"/>
      <c r="C18" s="56"/>
      <c r="D18" s="56"/>
      <c r="E18" s="56">
        <f t="shared" si="0"/>
        <v>0</v>
      </c>
      <c r="F18" s="77"/>
      <c r="G18" s="76"/>
      <c r="H18" s="54"/>
    </row>
    <row r="19" spans="1:8">
      <c r="A19" s="74"/>
      <c r="B19" s="54"/>
      <c r="C19" s="56"/>
      <c r="D19" s="56"/>
      <c r="E19" s="56">
        <f t="shared" si="0"/>
        <v>0</v>
      </c>
      <c r="F19" s="77"/>
      <c r="G19" s="76"/>
      <c r="H19" s="54"/>
    </row>
    <row r="20" spans="1:8">
      <c r="A20" s="74"/>
      <c r="B20" s="54"/>
      <c r="C20" s="56"/>
      <c r="D20" s="56"/>
      <c r="E20" s="56">
        <f t="shared" si="0"/>
        <v>0</v>
      </c>
      <c r="F20" s="77"/>
      <c r="G20" s="76"/>
      <c r="H20" s="54"/>
    </row>
    <row r="21" spans="1:8">
      <c r="A21" s="74"/>
      <c r="B21" s="54"/>
      <c r="C21" s="56"/>
      <c r="D21" s="56"/>
      <c r="E21" s="56">
        <f t="shared" si="0"/>
        <v>0</v>
      </c>
      <c r="F21" s="77"/>
      <c r="G21" s="76"/>
      <c r="H21" s="54"/>
    </row>
    <row r="22" spans="1:8">
      <c r="A22" s="74"/>
      <c r="B22" s="54"/>
      <c r="C22" s="56"/>
      <c r="D22" s="56"/>
      <c r="E22" s="56">
        <f t="shared" si="0"/>
        <v>0</v>
      </c>
      <c r="F22" s="77"/>
      <c r="G22" s="76"/>
      <c r="H22" s="54"/>
    </row>
    <row r="23" spans="1:8">
      <c r="A23" s="74"/>
      <c r="B23" s="54"/>
      <c r="C23" s="56"/>
      <c r="D23" s="56"/>
      <c r="E23" s="56">
        <f t="shared" si="0"/>
        <v>0</v>
      </c>
      <c r="F23" s="77"/>
      <c r="G23" s="76"/>
      <c r="H23" s="54"/>
    </row>
    <row r="24" spans="1:8">
      <c r="A24" s="74"/>
      <c r="B24" s="54"/>
      <c r="C24" s="56"/>
      <c r="D24" s="56"/>
      <c r="E24" s="56">
        <f t="shared" si="0"/>
        <v>0</v>
      </c>
      <c r="F24" s="77"/>
      <c r="G24" s="76"/>
      <c r="H24" s="54"/>
    </row>
    <row r="25" spans="1:8">
      <c r="A25" s="74"/>
      <c r="B25" s="54"/>
      <c r="C25" s="56"/>
      <c r="D25" s="56"/>
      <c r="E25" s="56">
        <f t="shared" si="0"/>
        <v>0</v>
      </c>
      <c r="F25" s="77"/>
      <c r="G25" s="76"/>
      <c r="H25" s="54"/>
    </row>
    <row r="26" spans="1:8">
      <c r="A26" s="74"/>
      <c r="B26" s="54"/>
      <c r="C26" s="56"/>
      <c r="D26" s="56"/>
      <c r="E26" s="56">
        <f t="shared" si="0"/>
        <v>0</v>
      </c>
      <c r="F26" s="77"/>
      <c r="G26" s="76"/>
      <c r="H26" s="54"/>
    </row>
    <row r="27" spans="1:8">
      <c r="A27" s="74"/>
      <c r="B27" s="54"/>
      <c r="C27" s="56"/>
      <c r="D27" s="56"/>
      <c r="E27" s="56">
        <f t="shared" si="0"/>
        <v>0</v>
      </c>
      <c r="F27" s="77"/>
      <c r="G27" s="76"/>
      <c r="H27" s="54"/>
    </row>
    <row r="28" spans="1:8">
      <c r="A28" s="74"/>
      <c r="B28" s="54"/>
      <c r="C28" s="56"/>
      <c r="D28" s="56"/>
      <c r="E28" s="56">
        <f t="shared" si="0"/>
        <v>0</v>
      </c>
      <c r="F28" s="77"/>
      <c r="G28" s="76"/>
      <c r="H28" s="54"/>
    </row>
    <row r="29" spans="1:8">
      <c r="A29" s="74"/>
      <c r="B29" s="54"/>
      <c r="C29" s="56"/>
      <c r="D29" s="56"/>
      <c r="E29" s="56">
        <f t="shared" si="0"/>
        <v>0</v>
      </c>
      <c r="F29" s="78"/>
      <c r="G29" s="54"/>
      <c r="H29" s="54"/>
    </row>
    <row r="30" spans="1:8">
      <c r="A30" s="74"/>
      <c r="B30" s="54"/>
      <c r="C30" s="56"/>
      <c r="D30" s="56"/>
      <c r="E30" s="56">
        <f t="shared" si="0"/>
        <v>0</v>
      </c>
      <c r="F30" s="77"/>
      <c r="G30" s="76"/>
      <c r="H30" s="54"/>
    </row>
    <row r="31" spans="1:8">
      <c r="A31" s="74"/>
      <c r="B31" s="54"/>
      <c r="C31" s="56"/>
      <c r="D31" s="56"/>
      <c r="E31" s="56">
        <f t="shared" si="0"/>
        <v>0</v>
      </c>
      <c r="F31" s="78"/>
      <c r="G31" s="54"/>
      <c r="H31" s="54"/>
    </row>
    <row r="32" spans="1:8">
      <c r="A32" s="74"/>
      <c r="B32" s="54"/>
      <c r="C32" s="56"/>
      <c r="D32" s="56"/>
      <c r="E32" s="56">
        <f t="shared" si="0"/>
        <v>0</v>
      </c>
      <c r="F32" s="78"/>
      <c r="G32" s="79"/>
      <c r="H32" s="54"/>
    </row>
    <row r="33" spans="1:8">
      <c r="A33" s="74"/>
      <c r="B33" s="54"/>
      <c r="C33" s="56"/>
      <c r="D33" s="56"/>
      <c r="E33" s="56">
        <f t="shared" si="0"/>
        <v>0</v>
      </c>
      <c r="F33" s="78"/>
      <c r="G33" s="79"/>
      <c r="H33" s="54"/>
    </row>
    <row r="34" spans="1:8">
      <c r="A34" s="74"/>
      <c r="B34" s="54"/>
      <c r="C34" s="56"/>
      <c r="D34" s="56"/>
      <c r="E34" s="56">
        <f t="shared" si="0"/>
        <v>0</v>
      </c>
      <c r="F34" s="78"/>
      <c r="G34" s="54"/>
      <c r="H34" s="54"/>
    </row>
    <row r="35" spans="1:8">
      <c r="A35" s="74"/>
      <c r="B35" s="54"/>
      <c r="C35" s="56"/>
      <c r="D35" s="56"/>
      <c r="E35" s="56">
        <f t="shared" si="0"/>
        <v>0</v>
      </c>
      <c r="F35" s="77"/>
      <c r="G35" s="76"/>
      <c r="H35" s="54"/>
    </row>
    <row r="36" spans="1:8">
      <c r="A36" s="74"/>
      <c r="B36" s="54"/>
      <c r="C36" s="56"/>
      <c r="D36" s="56"/>
      <c r="E36" s="56">
        <f t="shared" si="0"/>
        <v>0</v>
      </c>
      <c r="F36" s="77"/>
      <c r="G36" s="76"/>
      <c r="H36" s="54"/>
    </row>
    <row r="37" spans="1:8">
      <c r="A37" s="74"/>
      <c r="B37" s="54"/>
      <c r="C37" s="56"/>
      <c r="D37" s="56"/>
      <c r="E37" s="56">
        <f t="shared" si="0"/>
        <v>0</v>
      </c>
      <c r="F37" s="77"/>
      <c r="G37" s="76"/>
      <c r="H37" s="54"/>
    </row>
    <row r="38" spans="1:8">
      <c r="A38" s="74"/>
      <c r="B38" s="54"/>
      <c r="C38" s="56"/>
      <c r="D38" s="56"/>
      <c r="E38" s="56">
        <f t="shared" si="0"/>
        <v>0</v>
      </c>
      <c r="F38" s="78"/>
      <c r="G38" s="54"/>
      <c r="H38" s="54"/>
    </row>
    <row r="39" spans="1:8">
      <c r="A39" s="74"/>
      <c r="B39" s="54"/>
      <c r="C39" s="56"/>
      <c r="D39" s="56"/>
      <c r="E39" s="56">
        <f t="shared" si="0"/>
        <v>0</v>
      </c>
      <c r="F39" s="78"/>
      <c r="G39" s="80"/>
      <c r="H39" s="54"/>
    </row>
    <row r="40" spans="1:8">
      <c r="A40" s="74"/>
      <c r="B40" s="54"/>
      <c r="C40" s="56"/>
      <c r="D40" s="56"/>
      <c r="E40" s="56">
        <f t="shared" si="0"/>
        <v>0</v>
      </c>
      <c r="F40" s="77"/>
      <c r="G40" s="76"/>
      <c r="H40" s="54"/>
    </row>
    <row r="41" spans="1:8">
      <c r="A41" s="74"/>
      <c r="B41" s="54"/>
      <c r="C41" s="56"/>
      <c r="D41" s="56"/>
      <c r="E41" s="56">
        <f t="shared" si="0"/>
        <v>0</v>
      </c>
      <c r="F41" s="77"/>
      <c r="G41" s="76"/>
      <c r="H41" s="54"/>
    </row>
    <row r="42" spans="1:8">
      <c r="A42" s="74"/>
      <c r="B42" s="54"/>
      <c r="C42" s="56"/>
      <c r="D42" s="56"/>
      <c r="E42" s="56">
        <f t="shared" si="0"/>
        <v>0</v>
      </c>
      <c r="F42" s="77"/>
      <c r="G42" s="76"/>
      <c r="H42" s="54"/>
    </row>
    <row r="43" spans="1:8">
      <c r="A43" s="74"/>
      <c r="B43" s="54"/>
      <c r="C43" s="56"/>
      <c r="D43" s="56"/>
      <c r="E43" s="56">
        <f t="shared" si="0"/>
        <v>0</v>
      </c>
      <c r="F43" s="77"/>
      <c r="G43" s="76"/>
      <c r="H43" s="54"/>
    </row>
    <row r="44" spans="1:8">
      <c r="A44" s="74"/>
      <c r="B44" s="54"/>
      <c r="C44" s="56"/>
      <c r="D44" s="56"/>
      <c r="E44" s="56">
        <f t="shared" si="0"/>
        <v>0</v>
      </c>
      <c r="F44" s="77"/>
      <c r="G44" s="76"/>
      <c r="H44" s="54"/>
    </row>
    <row r="45" spans="1:8">
      <c r="A45" s="74"/>
      <c r="B45" s="54"/>
      <c r="C45" s="56"/>
      <c r="D45" s="56"/>
      <c r="E45" s="56">
        <f t="shared" si="0"/>
        <v>0</v>
      </c>
      <c r="F45" s="77"/>
      <c r="G45" s="76"/>
      <c r="H45" s="54"/>
    </row>
    <row r="46" spans="1:8">
      <c r="A46" s="74"/>
      <c r="B46" s="54"/>
      <c r="C46" s="56"/>
      <c r="D46" s="56"/>
      <c r="E46" s="56">
        <f t="shared" si="0"/>
        <v>0</v>
      </c>
      <c r="F46" s="77"/>
      <c r="G46" s="76"/>
      <c r="H46" s="54"/>
    </row>
    <row r="47" spans="1:8">
      <c r="A47" s="74"/>
      <c r="B47" s="54"/>
      <c r="C47" s="56"/>
      <c r="D47" s="56"/>
      <c r="E47" s="56">
        <f t="shared" si="0"/>
        <v>0</v>
      </c>
      <c r="F47" s="77"/>
      <c r="G47" s="76"/>
      <c r="H47" s="54"/>
    </row>
    <row r="48" spans="1:8">
      <c r="A48" s="74"/>
      <c r="B48" s="54"/>
      <c r="C48" s="56"/>
      <c r="D48" s="56"/>
      <c r="E48" s="56">
        <f t="shared" si="0"/>
        <v>0</v>
      </c>
      <c r="F48" s="77"/>
      <c r="G48" s="76"/>
      <c r="H48" s="54"/>
    </row>
    <row r="49" spans="1:8">
      <c r="A49" s="74"/>
      <c r="B49" s="54"/>
      <c r="C49" s="56"/>
      <c r="D49" s="56"/>
      <c r="E49" s="56">
        <f t="shared" si="0"/>
        <v>0</v>
      </c>
      <c r="F49" s="78"/>
      <c r="G49" s="54"/>
      <c r="H49" s="54"/>
    </row>
    <row r="50" spans="1:8">
      <c r="A50" s="74"/>
      <c r="B50" s="54"/>
      <c r="C50" s="56"/>
      <c r="D50" s="56"/>
      <c r="E50" s="56">
        <f t="shared" si="0"/>
        <v>0</v>
      </c>
      <c r="F50" s="77"/>
      <c r="G50" s="76"/>
      <c r="H50" s="54"/>
    </row>
    <row r="51" spans="1:8">
      <c r="A51" s="74"/>
      <c r="B51" s="54"/>
      <c r="C51" s="56"/>
      <c r="D51" s="56"/>
      <c r="E51" s="56">
        <f t="shared" si="0"/>
        <v>0</v>
      </c>
      <c r="F51" s="77"/>
      <c r="G51" s="76"/>
      <c r="H51" s="54"/>
    </row>
    <row r="52" spans="1:8">
      <c r="A52" s="74"/>
      <c r="B52" s="54"/>
      <c r="C52" s="56"/>
      <c r="D52" s="56"/>
      <c r="E52" s="56">
        <f t="shared" si="0"/>
        <v>0</v>
      </c>
      <c r="F52" s="77"/>
      <c r="G52" s="76"/>
      <c r="H52" s="54"/>
    </row>
    <row r="53" spans="1:8">
      <c r="A53" s="74"/>
      <c r="B53" s="54"/>
      <c r="C53" s="56"/>
      <c r="D53" s="56"/>
      <c r="E53" s="56">
        <f t="shared" si="0"/>
        <v>0</v>
      </c>
      <c r="F53" s="77"/>
      <c r="G53" s="76"/>
      <c r="H53" s="54"/>
    </row>
    <row r="54" spans="1:8">
      <c r="A54" s="74"/>
      <c r="B54" s="54"/>
      <c r="C54" s="56"/>
      <c r="D54" s="56"/>
      <c r="E54" s="56">
        <f t="shared" si="0"/>
        <v>0</v>
      </c>
      <c r="F54" s="77"/>
      <c r="G54" s="76"/>
      <c r="H54" s="54"/>
    </row>
    <row r="55" spans="1:8">
      <c r="A55" s="74"/>
      <c r="B55" s="54"/>
      <c r="C55" s="56"/>
      <c r="D55" s="56"/>
      <c r="E55" s="56">
        <f t="shared" si="0"/>
        <v>0</v>
      </c>
      <c r="F55" s="77"/>
      <c r="G55" s="76"/>
      <c r="H55" s="54"/>
    </row>
    <row r="56" spans="1:8">
      <c r="A56" s="74"/>
      <c r="B56" s="54"/>
      <c r="C56" s="56"/>
      <c r="D56" s="56"/>
      <c r="E56" s="56">
        <f t="shared" si="0"/>
        <v>0</v>
      </c>
      <c r="F56" s="77"/>
      <c r="G56" s="76"/>
      <c r="H56" s="54"/>
    </row>
    <row r="57" spans="1:8">
      <c r="A57" s="74"/>
      <c r="B57" s="54"/>
      <c r="C57" s="56"/>
      <c r="D57" s="56"/>
      <c r="E57" s="56">
        <f t="shared" si="0"/>
        <v>0</v>
      </c>
      <c r="F57" s="77"/>
      <c r="G57" s="76"/>
      <c r="H57" s="54"/>
    </row>
    <row r="58" spans="1:8">
      <c r="A58" s="73"/>
      <c r="B58" s="54"/>
      <c r="C58" s="56"/>
      <c r="D58" s="56"/>
      <c r="E58" s="56">
        <f t="shared" si="0"/>
        <v>0</v>
      </c>
      <c r="F58" s="77"/>
      <c r="G58" s="76"/>
      <c r="H58" s="54"/>
    </row>
    <row r="59" spans="1:8">
      <c r="A59" s="73"/>
      <c r="B59" s="54"/>
      <c r="C59" s="56"/>
      <c r="D59" s="56"/>
      <c r="E59" s="56">
        <f t="shared" si="0"/>
        <v>0</v>
      </c>
      <c r="F59" s="77"/>
      <c r="G59" s="76"/>
      <c r="H59" s="54"/>
    </row>
    <row r="60" spans="1:8" s="71" customFormat="1">
      <c r="A60" s="73"/>
      <c r="B60" s="54"/>
      <c r="C60" s="56"/>
      <c r="D60" s="56"/>
      <c r="E60" s="56">
        <f t="shared" si="0"/>
        <v>0</v>
      </c>
      <c r="F60" s="77"/>
      <c r="G60" s="76"/>
      <c r="H60" s="54"/>
    </row>
    <row r="61" spans="1:8" s="71" customFormat="1">
      <c r="A61" s="73"/>
      <c r="B61" s="54"/>
      <c r="C61" s="56"/>
      <c r="D61" s="56"/>
      <c r="E61" s="56">
        <f t="shared" si="0"/>
        <v>0</v>
      </c>
      <c r="F61" s="77"/>
      <c r="G61" s="76"/>
      <c r="H61" s="54"/>
    </row>
    <row r="62" spans="1:8" s="71" customFormat="1">
      <c r="A62" s="73"/>
      <c r="B62" s="54"/>
      <c r="C62" s="56"/>
      <c r="D62" s="56"/>
      <c r="E62" s="56">
        <f t="shared" si="0"/>
        <v>0</v>
      </c>
      <c r="F62" s="77"/>
      <c r="G62" s="76"/>
      <c r="H62" s="54"/>
    </row>
    <row r="63" spans="1:8" s="71" customFormat="1">
      <c r="A63" s="73"/>
      <c r="B63" s="54"/>
      <c r="C63" s="56"/>
      <c r="D63" s="56"/>
      <c r="E63" s="56">
        <f t="shared" si="0"/>
        <v>0</v>
      </c>
      <c r="F63" s="77"/>
      <c r="G63" s="76"/>
      <c r="H63" s="54"/>
    </row>
    <row r="64" spans="1:8" s="71" customFormat="1">
      <c r="A64" s="73"/>
      <c r="B64" s="54"/>
      <c r="C64" s="56"/>
      <c r="D64" s="56"/>
      <c r="E64" s="56">
        <f t="shared" si="0"/>
        <v>0</v>
      </c>
      <c r="F64" s="77"/>
      <c r="G64" s="76"/>
      <c r="H64" s="54"/>
    </row>
    <row r="65" spans="1:8" s="71" customFormat="1">
      <c r="A65" s="73"/>
      <c r="B65" s="54"/>
      <c r="C65" s="56"/>
      <c r="D65" s="56"/>
      <c r="E65" s="56">
        <f t="shared" si="0"/>
        <v>0</v>
      </c>
      <c r="F65" s="77"/>
      <c r="G65" s="76"/>
      <c r="H65" s="54"/>
    </row>
    <row r="66" spans="1:8" s="71" customFormat="1">
      <c r="A66" s="73"/>
      <c r="B66" s="54"/>
      <c r="C66" s="56"/>
      <c r="D66" s="56"/>
      <c r="E66" s="56">
        <f t="shared" si="0"/>
        <v>0</v>
      </c>
      <c r="F66" s="77"/>
      <c r="G66" s="76"/>
      <c r="H66" s="54"/>
    </row>
    <row r="67" spans="1:8" s="71" customFormat="1">
      <c r="A67" s="73"/>
      <c r="B67" s="54"/>
      <c r="C67" s="56"/>
      <c r="D67" s="56"/>
      <c r="E67" s="56">
        <f t="shared" si="0"/>
        <v>0</v>
      </c>
      <c r="F67" s="77"/>
      <c r="G67" s="76"/>
      <c r="H67" s="54"/>
    </row>
    <row r="68" spans="1:8" s="71" customFormat="1">
      <c r="A68" s="73"/>
      <c r="B68" s="54"/>
      <c r="C68" s="56"/>
      <c r="D68" s="56"/>
      <c r="E68" s="56">
        <f t="shared" si="0"/>
        <v>0</v>
      </c>
      <c r="F68" s="77"/>
      <c r="G68" s="76"/>
      <c r="H68" s="54"/>
    </row>
    <row r="69" spans="1:8" s="71" customFormat="1">
      <c r="A69" s="73"/>
      <c r="B69" s="54"/>
      <c r="C69" s="56"/>
      <c r="D69" s="56"/>
      <c r="E69" s="56">
        <f t="shared" si="0"/>
        <v>0</v>
      </c>
      <c r="F69" s="77"/>
      <c r="G69" s="76"/>
      <c r="H69" s="54"/>
    </row>
    <row r="70" spans="1:8">
      <c r="A70" s="73"/>
      <c r="B70" s="54"/>
      <c r="C70" s="56"/>
      <c r="D70" s="56"/>
      <c r="E70" s="56">
        <f t="shared" si="0"/>
        <v>0</v>
      </c>
      <c r="F70" s="75"/>
      <c r="G70" s="76"/>
      <c r="H70" s="54"/>
    </row>
    <row r="71" spans="1:8">
      <c r="A71" s="74"/>
      <c r="B71" s="54"/>
      <c r="C71" s="56"/>
      <c r="D71" s="56"/>
      <c r="E71" s="56">
        <f t="shared" si="0"/>
        <v>0</v>
      </c>
      <c r="F71" s="77"/>
      <c r="G71" s="76"/>
      <c r="H71" s="54"/>
    </row>
    <row r="72" spans="1:8">
      <c r="A72" s="74"/>
      <c r="B72" s="54"/>
      <c r="C72" s="56"/>
      <c r="D72" s="56"/>
      <c r="E72" s="56">
        <f t="shared" ref="E72:E135" si="1">E71-C72+D72</f>
        <v>0</v>
      </c>
      <c r="F72" s="77"/>
      <c r="G72" s="76"/>
      <c r="H72" s="54"/>
    </row>
    <row r="73" spans="1:8" s="72" customFormat="1">
      <c r="A73" s="74"/>
      <c r="B73" s="54"/>
      <c r="C73" s="56"/>
      <c r="D73" s="56"/>
      <c r="E73" s="56">
        <f t="shared" si="1"/>
        <v>0</v>
      </c>
      <c r="F73" s="77"/>
      <c r="G73" s="76"/>
      <c r="H73" s="54"/>
    </row>
    <row r="74" spans="1:8">
      <c r="A74" s="74"/>
      <c r="B74" s="54"/>
      <c r="C74" s="56"/>
      <c r="D74" s="56"/>
      <c r="E74" s="56">
        <f t="shared" si="1"/>
        <v>0</v>
      </c>
      <c r="F74" s="77"/>
      <c r="G74" s="76"/>
      <c r="H74" s="54"/>
    </row>
    <row r="75" spans="1:8">
      <c r="A75" s="74"/>
      <c r="B75" s="54"/>
      <c r="C75" s="56"/>
      <c r="D75" s="56"/>
      <c r="E75" s="56">
        <f t="shared" si="1"/>
        <v>0</v>
      </c>
      <c r="F75" s="77"/>
      <c r="G75" s="76"/>
      <c r="H75" s="54"/>
    </row>
    <row r="76" spans="1:8">
      <c r="A76" s="74"/>
      <c r="B76" s="54"/>
      <c r="C76" s="56"/>
      <c r="D76" s="56"/>
      <c r="E76" s="56">
        <f t="shared" si="1"/>
        <v>0</v>
      </c>
      <c r="F76" s="77"/>
      <c r="G76" s="76"/>
      <c r="H76" s="54"/>
    </row>
    <row r="77" spans="1:8">
      <c r="A77" s="74"/>
      <c r="B77" s="54"/>
      <c r="C77" s="56"/>
      <c r="D77" s="56"/>
      <c r="E77" s="56">
        <f t="shared" si="1"/>
        <v>0</v>
      </c>
      <c r="F77" s="77"/>
      <c r="G77" s="76"/>
      <c r="H77" s="54"/>
    </row>
    <row r="78" spans="1:8">
      <c r="A78" s="74"/>
      <c r="B78" s="54"/>
      <c r="C78" s="56"/>
      <c r="D78" s="56"/>
      <c r="E78" s="56">
        <f t="shared" si="1"/>
        <v>0</v>
      </c>
      <c r="F78" s="77"/>
      <c r="G78" s="76"/>
      <c r="H78" s="54"/>
    </row>
    <row r="79" spans="1:8">
      <c r="A79" s="74"/>
      <c r="B79" s="54"/>
      <c r="C79" s="56"/>
      <c r="D79" s="56"/>
      <c r="E79" s="56">
        <f t="shared" si="1"/>
        <v>0</v>
      </c>
      <c r="F79" s="77"/>
      <c r="G79" s="76"/>
      <c r="H79" s="54"/>
    </row>
    <row r="80" spans="1:8">
      <c r="A80" s="74"/>
      <c r="B80" s="54"/>
      <c r="C80" s="56"/>
      <c r="D80" s="56"/>
      <c r="E80" s="56">
        <f t="shared" si="1"/>
        <v>0</v>
      </c>
      <c r="F80" s="77"/>
      <c r="G80" s="76"/>
      <c r="H80" s="54"/>
    </row>
    <row r="81" spans="1:8">
      <c r="A81" s="74"/>
      <c r="B81" s="54"/>
      <c r="C81" s="56"/>
      <c r="D81" s="56"/>
      <c r="E81" s="56">
        <f t="shared" si="1"/>
        <v>0</v>
      </c>
      <c r="F81" s="77"/>
      <c r="G81" s="76"/>
      <c r="H81" s="54"/>
    </row>
    <row r="82" spans="1:8">
      <c r="A82" s="74"/>
      <c r="B82" s="54"/>
      <c r="C82" s="56"/>
      <c r="D82" s="56"/>
      <c r="E82" s="56">
        <f t="shared" si="1"/>
        <v>0</v>
      </c>
      <c r="F82" s="77"/>
      <c r="G82" s="76"/>
      <c r="H82" s="54"/>
    </row>
    <row r="83" spans="1:8">
      <c r="A83" s="74"/>
      <c r="B83" s="54"/>
      <c r="C83" s="56"/>
      <c r="D83" s="56"/>
      <c r="E83" s="56">
        <f t="shared" si="1"/>
        <v>0</v>
      </c>
      <c r="F83" s="77"/>
      <c r="G83" s="76"/>
      <c r="H83" s="54"/>
    </row>
    <row r="84" spans="1:8">
      <c r="A84" s="74"/>
      <c r="B84" s="54"/>
      <c r="C84" s="56"/>
      <c r="D84" s="56"/>
      <c r="E84" s="56">
        <f t="shared" si="1"/>
        <v>0</v>
      </c>
      <c r="F84" s="77"/>
      <c r="G84" s="76"/>
      <c r="H84" s="54"/>
    </row>
    <row r="85" spans="1:8">
      <c r="A85" s="74"/>
      <c r="B85" s="54"/>
      <c r="C85" s="56"/>
      <c r="D85" s="56"/>
      <c r="E85" s="56">
        <f t="shared" si="1"/>
        <v>0</v>
      </c>
      <c r="F85" s="77"/>
      <c r="G85" s="76"/>
      <c r="H85" s="54"/>
    </row>
    <row r="86" spans="1:8">
      <c r="A86" s="74"/>
      <c r="B86" s="54"/>
      <c r="C86" s="56"/>
      <c r="D86" s="56"/>
      <c r="E86" s="56">
        <f t="shared" si="1"/>
        <v>0</v>
      </c>
      <c r="F86" s="77"/>
      <c r="G86" s="76"/>
      <c r="H86" s="54"/>
    </row>
    <row r="87" spans="1:8">
      <c r="A87" s="74"/>
      <c r="B87" s="54"/>
      <c r="C87" s="56"/>
      <c r="D87" s="56"/>
      <c r="E87" s="56">
        <f t="shared" si="1"/>
        <v>0</v>
      </c>
      <c r="F87" s="77"/>
      <c r="G87" s="76"/>
      <c r="H87" s="54"/>
    </row>
    <row r="88" spans="1:8">
      <c r="A88" s="74"/>
      <c r="B88" s="54"/>
      <c r="C88" s="56"/>
      <c r="D88" s="56"/>
      <c r="E88" s="56">
        <f t="shared" si="1"/>
        <v>0</v>
      </c>
      <c r="F88" s="77"/>
      <c r="G88" s="76"/>
      <c r="H88" s="54"/>
    </row>
    <row r="89" spans="1:8">
      <c r="A89" s="74"/>
      <c r="B89" s="54"/>
      <c r="C89" s="56"/>
      <c r="D89" s="56"/>
      <c r="E89" s="56">
        <f t="shared" si="1"/>
        <v>0</v>
      </c>
      <c r="F89" s="77"/>
      <c r="G89" s="76"/>
      <c r="H89" s="54"/>
    </row>
    <row r="90" spans="1:8">
      <c r="A90" s="74"/>
      <c r="B90" s="54"/>
      <c r="C90" s="56"/>
      <c r="D90" s="56"/>
      <c r="E90" s="56">
        <f t="shared" si="1"/>
        <v>0</v>
      </c>
      <c r="F90" s="77"/>
      <c r="G90" s="76"/>
      <c r="H90" s="54"/>
    </row>
    <row r="91" spans="1:8">
      <c r="A91" s="74"/>
      <c r="B91" s="54"/>
      <c r="C91" s="56"/>
      <c r="D91" s="56"/>
      <c r="E91" s="56">
        <f t="shared" si="1"/>
        <v>0</v>
      </c>
      <c r="F91" s="77"/>
      <c r="G91" s="76"/>
      <c r="H91" s="54"/>
    </row>
    <row r="92" spans="1:8">
      <c r="A92" s="74"/>
      <c r="B92" s="54"/>
      <c r="C92" s="56"/>
      <c r="D92" s="56"/>
      <c r="E92" s="56">
        <f t="shared" si="1"/>
        <v>0</v>
      </c>
      <c r="F92" s="77"/>
      <c r="G92" s="76"/>
      <c r="H92" s="54"/>
    </row>
    <row r="93" spans="1:8">
      <c r="A93" s="74"/>
      <c r="B93" s="54"/>
      <c r="C93" s="56"/>
      <c r="D93" s="56"/>
      <c r="E93" s="56">
        <f t="shared" si="1"/>
        <v>0</v>
      </c>
      <c r="F93" s="78"/>
      <c r="G93" s="76"/>
      <c r="H93" s="54"/>
    </row>
    <row r="94" spans="1:8">
      <c r="A94" s="74"/>
      <c r="B94" s="54"/>
      <c r="C94" s="56"/>
      <c r="D94" s="56"/>
      <c r="E94" s="56">
        <f t="shared" si="1"/>
        <v>0</v>
      </c>
      <c r="F94" s="77"/>
      <c r="G94" s="81"/>
      <c r="H94" s="54"/>
    </row>
    <row r="95" spans="1:8">
      <c r="A95" s="74"/>
      <c r="B95" s="54"/>
      <c r="C95" s="56"/>
      <c r="D95" s="56"/>
      <c r="E95" s="56">
        <f t="shared" si="1"/>
        <v>0</v>
      </c>
      <c r="F95" s="77"/>
      <c r="G95" s="76"/>
      <c r="H95" s="54"/>
    </row>
    <row r="96" spans="1:8">
      <c r="A96" s="74"/>
      <c r="B96" s="54"/>
      <c r="C96" s="56"/>
      <c r="D96" s="56"/>
      <c r="E96" s="56">
        <f t="shared" si="1"/>
        <v>0</v>
      </c>
      <c r="F96" s="77"/>
      <c r="G96" s="76"/>
      <c r="H96" s="54"/>
    </row>
    <row r="97" spans="1:8">
      <c r="A97" s="74"/>
      <c r="B97" s="54"/>
      <c r="C97" s="56"/>
      <c r="D97" s="56"/>
      <c r="E97" s="56">
        <f t="shared" si="1"/>
        <v>0</v>
      </c>
      <c r="F97" s="77"/>
      <c r="G97" s="69"/>
      <c r="H97" s="82"/>
    </row>
    <row r="98" spans="1:8">
      <c r="A98" s="74"/>
      <c r="B98" s="54"/>
      <c r="C98" s="56"/>
      <c r="D98" s="56"/>
      <c r="E98" s="56">
        <f t="shared" si="1"/>
        <v>0</v>
      </c>
      <c r="F98" s="77"/>
      <c r="G98" s="76"/>
      <c r="H98" s="82"/>
    </row>
    <row r="99" spans="1:8">
      <c r="A99" s="74"/>
      <c r="B99" s="54"/>
      <c r="C99" s="56"/>
      <c r="D99" s="56"/>
      <c r="E99" s="56">
        <f t="shared" si="1"/>
        <v>0</v>
      </c>
      <c r="F99" s="77"/>
      <c r="G99" s="76"/>
      <c r="H99" s="54"/>
    </row>
    <row r="100" spans="1:8" s="71" customFormat="1">
      <c r="A100" s="74"/>
      <c r="B100" s="54"/>
      <c r="C100" s="56"/>
      <c r="D100" s="56"/>
      <c r="E100" s="56">
        <f t="shared" si="1"/>
        <v>0</v>
      </c>
      <c r="F100" s="77"/>
      <c r="G100" s="69"/>
      <c r="H100" s="82"/>
    </row>
    <row r="101" spans="1:8">
      <c r="A101" s="74"/>
      <c r="B101" s="54"/>
      <c r="C101" s="56"/>
      <c r="D101" s="56"/>
      <c r="E101" s="56">
        <f t="shared" si="1"/>
        <v>0</v>
      </c>
      <c r="F101" s="77"/>
      <c r="G101" s="76"/>
      <c r="H101" s="54"/>
    </row>
    <row r="102" spans="1:8">
      <c r="A102" s="74"/>
      <c r="B102" s="54"/>
      <c r="C102" s="56"/>
      <c r="D102" s="56"/>
      <c r="E102" s="56">
        <f t="shared" si="1"/>
        <v>0</v>
      </c>
      <c r="F102" s="77"/>
      <c r="G102" s="76"/>
      <c r="H102" s="54"/>
    </row>
    <row r="103" spans="1:8" s="71" customFormat="1">
      <c r="A103" s="74"/>
      <c r="B103" s="54"/>
      <c r="C103" s="56"/>
      <c r="D103" s="56"/>
      <c r="E103" s="56">
        <f t="shared" si="1"/>
        <v>0</v>
      </c>
      <c r="F103" s="77"/>
      <c r="G103" s="69"/>
      <c r="H103" s="82"/>
    </row>
    <row r="104" spans="1:8">
      <c r="A104" s="74"/>
      <c r="B104" s="54"/>
      <c r="C104" s="56"/>
      <c r="D104" s="56"/>
      <c r="E104" s="56">
        <f t="shared" si="1"/>
        <v>0</v>
      </c>
      <c r="F104" s="77"/>
      <c r="G104" s="76"/>
      <c r="H104" s="54"/>
    </row>
    <row r="105" spans="1:8">
      <c r="A105" s="74"/>
      <c r="B105" s="54"/>
      <c r="C105" s="56"/>
      <c r="D105" s="56"/>
      <c r="E105" s="56">
        <f t="shared" si="1"/>
        <v>0</v>
      </c>
      <c r="F105" s="77"/>
      <c r="G105" s="76"/>
      <c r="H105" s="54"/>
    </row>
    <row r="106" spans="1:8">
      <c r="A106" s="74"/>
      <c r="B106" s="54"/>
      <c r="C106" s="56"/>
      <c r="D106" s="56"/>
      <c r="E106" s="56">
        <f t="shared" si="1"/>
        <v>0</v>
      </c>
      <c r="F106" s="77"/>
      <c r="G106" s="76"/>
      <c r="H106" s="54"/>
    </row>
    <row r="107" spans="1:8" s="71" customFormat="1">
      <c r="A107" s="74"/>
      <c r="B107" s="54"/>
      <c r="C107" s="56"/>
      <c r="D107" s="56"/>
      <c r="E107" s="56">
        <f t="shared" si="1"/>
        <v>0</v>
      </c>
      <c r="F107" s="77"/>
      <c r="G107" s="76"/>
      <c r="H107" s="54"/>
    </row>
    <row r="108" spans="1:8" s="71" customFormat="1">
      <c r="A108" s="74"/>
      <c r="B108" s="54"/>
      <c r="C108" s="56"/>
      <c r="D108" s="56"/>
      <c r="E108" s="56">
        <f t="shared" si="1"/>
        <v>0</v>
      </c>
      <c r="F108" s="77"/>
      <c r="G108" s="76"/>
      <c r="H108" s="54"/>
    </row>
    <row r="109" spans="1:8" s="71" customFormat="1">
      <c r="A109" s="74"/>
      <c r="B109" s="54"/>
      <c r="C109" s="56"/>
      <c r="D109" s="56"/>
      <c r="E109" s="56">
        <f t="shared" si="1"/>
        <v>0</v>
      </c>
      <c r="F109" s="77"/>
      <c r="G109" s="76"/>
      <c r="H109" s="54"/>
    </row>
    <row r="110" spans="1:8">
      <c r="A110" s="74"/>
      <c r="B110" s="54"/>
      <c r="C110" s="56"/>
      <c r="D110" s="56"/>
      <c r="E110" s="56">
        <f t="shared" si="1"/>
        <v>0</v>
      </c>
      <c r="F110" s="77"/>
      <c r="G110" s="76"/>
      <c r="H110" s="54"/>
    </row>
    <row r="111" spans="1:8" s="71" customFormat="1">
      <c r="A111" s="74"/>
      <c r="B111" s="54"/>
      <c r="C111" s="56"/>
      <c r="D111" s="56"/>
      <c r="E111" s="56">
        <f t="shared" si="1"/>
        <v>0</v>
      </c>
      <c r="F111" s="77"/>
      <c r="G111" s="76"/>
      <c r="H111" s="54"/>
    </row>
    <row r="112" spans="1:8">
      <c r="A112" s="74"/>
      <c r="B112" s="54"/>
      <c r="C112" s="56"/>
      <c r="D112" s="56"/>
      <c r="E112" s="56">
        <f t="shared" si="1"/>
        <v>0</v>
      </c>
      <c r="F112" s="77"/>
      <c r="G112" s="76"/>
      <c r="H112" s="54"/>
    </row>
    <row r="113" spans="1:8">
      <c r="A113" s="74"/>
      <c r="B113" s="54"/>
      <c r="C113" s="56"/>
      <c r="D113" s="56"/>
      <c r="E113" s="56">
        <f t="shared" si="1"/>
        <v>0</v>
      </c>
      <c r="F113" s="77"/>
      <c r="G113" s="76"/>
      <c r="H113" s="54"/>
    </row>
    <row r="114" spans="1:8">
      <c r="A114" s="74"/>
      <c r="B114" s="54"/>
      <c r="C114" s="56"/>
      <c r="D114" s="56"/>
      <c r="E114" s="56">
        <f t="shared" si="1"/>
        <v>0</v>
      </c>
      <c r="F114" s="77"/>
      <c r="G114" s="76"/>
      <c r="H114" s="54"/>
    </row>
    <row r="115" spans="1:8">
      <c r="A115" s="74"/>
      <c r="B115" s="54"/>
      <c r="C115" s="56"/>
      <c r="D115" s="56"/>
      <c r="E115" s="56">
        <f t="shared" si="1"/>
        <v>0</v>
      </c>
      <c r="F115" s="77"/>
      <c r="G115" s="76"/>
      <c r="H115" s="54"/>
    </row>
    <row r="116" spans="1:8">
      <c r="A116" s="74"/>
      <c r="B116" s="54"/>
      <c r="C116" s="56"/>
      <c r="D116" s="56"/>
      <c r="E116" s="56">
        <f t="shared" si="1"/>
        <v>0</v>
      </c>
      <c r="F116" s="77"/>
      <c r="G116" s="76"/>
      <c r="H116" s="54"/>
    </row>
    <row r="117" spans="1:8">
      <c r="A117" s="74"/>
      <c r="B117" s="54"/>
      <c r="C117" s="56"/>
      <c r="D117" s="56"/>
      <c r="E117" s="56">
        <f t="shared" si="1"/>
        <v>0</v>
      </c>
      <c r="F117" s="77"/>
      <c r="G117" s="76"/>
      <c r="H117" s="54"/>
    </row>
    <row r="118" spans="1:8">
      <c r="A118" s="74"/>
      <c r="B118" s="54"/>
      <c r="C118" s="56"/>
      <c r="D118" s="56"/>
      <c r="E118" s="56">
        <f t="shared" si="1"/>
        <v>0</v>
      </c>
      <c r="F118" s="77"/>
      <c r="G118" s="76"/>
      <c r="H118" s="54"/>
    </row>
    <row r="119" spans="1:8">
      <c r="A119" s="74"/>
      <c r="B119" s="54"/>
      <c r="C119" s="56"/>
      <c r="D119" s="56"/>
      <c r="E119" s="56">
        <f t="shared" si="1"/>
        <v>0</v>
      </c>
      <c r="F119" s="77"/>
      <c r="G119" s="69"/>
      <c r="H119" s="54"/>
    </row>
    <row r="120" spans="1:8">
      <c r="A120" s="74"/>
      <c r="B120" s="54"/>
      <c r="C120" s="56"/>
      <c r="D120" s="56"/>
      <c r="E120" s="56">
        <f t="shared" si="1"/>
        <v>0</v>
      </c>
      <c r="F120" s="77"/>
      <c r="G120" s="69"/>
      <c r="H120" s="54"/>
    </row>
    <row r="121" spans="1:8">
      <c r="A121" s="74"/>
      <c r="B121" s="54"/>
      <c r="C121" s="56"/>
      <c r="D121" s="56"/>
      <c r="E121" s="56">
        <f t="shared" si="1"/>
        <v>0</v>
      </c>
      <c r="F121" s="77"/>
      <c r="G121" s="69"/>
      <c r="H121" s="54"/>
    </row>
    <row r="122" spans="1:8">
      <c r="A122" s="74"/>
      <c r="B122" s="54"/>
      <c r="C122" s="56"/>
      <c r="D122" s="56"/>
      <c r="E122" s="56">
        <f t="shared" si="1"/>
        <v>0</v>
      </c>
      <c r="F122" s="77"/>
      <c r="G122" s="76"/>
      <c r="H122" s="54"/>
    </row>
    <row r="123" spans="1:8">
      <c r="A123" s="83"/>
      <c r="B123" s="54"/>
      <c r="C123" s="56"/>
      <c r="D123" s="84"/>
      <c r="E123" s="56">
        <f t="shared" si="1"/>
        <v>0</v>
      </c>
      <c r="F123" s="77"/>
      <c r="G123" s="76"/>
      <c r="H123" s="54"/>
    </row>
    <row r="124" spans="1:8">
      <c r="A124" s="74"/>
      <c r="B124" s="54"/>
      <c r="C124" s="56"/>
      <c r="D124" s="56"/>
      <c r="E124" s="56">
        <f t="shared" si="1"/>
        <v>0</v>
      </c>
      <c r="F124" s="77"/>
      <c r="G124" s="69"/>
      <c r="H124" s="54"/>
    </row>
    <row r="125" spans="1:8">
      <c r="A125" s="74"/>
      <c r="B125" s="54"/>
      <c r="C125" s="56"/>
      <c r="D125" s="56"/>
      <c r="E125" s="56">
        <f t="shared" si="1"/>
        <v>0</v>
      </c>
      <c r="F125" s="77"/>
      <c r="G125" s="76"/>
      <c r="H125" s="54"/>
    </row>
    <row r="126" spans="1:8">
      <c r="A126" s="74"/>
      <c r="B126" s="54"/>
      <c r="C126" s="56"/>
      <c r="D126" s="56"/>
      <c r="E126" s="56">
        <f t="shared" si="1"/>
        <v>0</v>
      </c>
      <c r="F126" s="77"/>
      <c r="G126" s="76"/>
      <c r="H126" s="54"/>
    </row>
    <row r="127" spans="1:8">
      <c r="A127" s="74"/>
      <c r="B127" s="54"/>
      <c r="C127" s="56"/>
      <c r="D127" s="56"/>
      <c r="E127" s="56">
        <f t="shared" si="1"/>
        <v>0</v>
      </c>
      <c r="F127" s="77"/>
      <c r="G127" s="76"/>
      <c r="H127" s="54"/>
    </row>
    <row r="128" spans="1:8">
      <c r="A128" s="74"/>
      <c r="B128" s="54"/>
      <c r="C128" s="56"/>
      <c r="D128" s="56"/>
      <c r="E128" s="56">
        <f t="shared" si="1"/>
        <v>0</v>
      </c>
      <c r="F128" s="77"/>
      <c r="G128" s="76"/>
      <c r="H128" s="54"/>
    </row>
    <row r="129" spans="1:8">
      <c r="A129" s="83"/>
      <c r="B129" s="54"/>
      <c r="C129" s="56"/>
      <c r="D129" s="56"/>
      <c r="E129" s="56">
        <f t="shared" si="1"/>
        <v>0</v>
      </c>
      <c r="F129" s="77"/>
      <c r="G129" s="76"/>
      <c r="H129" s="54"/>
    </row>
    <row r="130" spans="1:8">
      <c r="A130" s="74"/>
      <c r="B130" s="54"/>
      <c r="C130" s="56"/>
      <c r="D130" s="56"/>
      <c r="E130" s="56">
        <f t="shared" si="1"/>
        <v>0</v>
      </c>
      <c r="F130" s="77"/>
      <c r="G130" s="76"/>
      <c r="H130" s="54"/>
    </row>
    <row r="131" spans="1:8" s="71" customFormat="1">
      <c r="A131" s="74"/>
      <c r="B131" s="54"/>
      <c r="C131" s="56"/>
      <c r="D131" s="56"/>
      <c r="E131" s="56">
        <f t="shared" si="1"/>
        <v>0</v>
      </c>
      <c r="F131" s="77"/>
      <c r="G131" s="76"/>
      <c r="H131" s="54"/>
    </row>
    <row r="132" spans="1:8">
      <c r="A132" s="74"/>
      <c r="B132" s="54"/>
      <c r="C132" s="56"/>
      <c r="D132" s="56"/>
      <c r="E132" s="56">
        <f t="shared" si="1"/>
        <v>0</v>
      </c>
      <c r="F132" s="77"/>
      <c r="G132" s="76"/>
      <c r="H132" s="54"/>
    </row>
    <row r="133" spans="1:8">
      <c r="A133" s="74"/>
      <c r="B133" s="54"/>
      <c r="C133" s="56"/>
      <c r="D133" s="56"/>
      <c r="E133" s="56">
        <f t="shared" si="1"/>
        <v>0</v>
      </c>
      <c r="F133" s="77"/>
      <c r="G133" s="76"/>
      <c r="H133" s="54"/>
    </row>
    <row r="134" spans="1:8">
      <c r="A134" s="74"/>
      <c r="B134" s="54"/>
      <c r="C134" s="56"/>
      <c r="D134" s="56"/>
      <c r="E134" s="56">
        <f t="shared" si="1"/>
        <v>0</v>
      </c>
      <c r="F134" s="77"/>
      <c r="G134" s="76"/>
      <c r="H134" s="54"/>
    </row>
    <row r="135" spans="1:8">
      <c r="A135" s="74"/>
      <c r="B135" s="54"/>
      <c r="C135" s="56"/>
      <c r="D135" s="56"/>
      <c r="E135" s="56">
        <f t="shared" si="1"/>
        <v>0</v>
      </c>
      <c r="F135" s="77"/>
      <c r="G135" s="76"/>
      <c r="H135" s="54"/>
    </row>
    <row r="136" spans="1:8">
      <c r="A136" s="74"/>
      <c r="B136" s="54"/>
      <c r="C136" s="56"/>
      <c r="D136" s="56"/>
      <c r="E136" s="56">
        <f t="shared" ref="E136:E163" si="2">E135-C136+D136</f>
        <v>0</v>
      </c>
      <c r="F136" s="77"/>
      <c r="G136" s="76"/>
      <c r="H136" s="54"/>
    </row>
    <row r="137" spans="1:8">
      <c r="A137" s="74"/>
      <c r="B137" s="54"/>
      <c r="C137" s="56"/>
      <c r="D137" s="56"/>
      <c r="E137" s="56">
        <f t="shared" si="2"/>
        <v>0</v>
      </c>
      <c r="F137" s="77"/>
      <c r="G137" s="76"/>
      <c r="H137" s="82"/>
    </row>
    <row r="138" spans="1:8">
      <c r="A138" s="74"/>
      <c r="B138" s="54"/>
      <c r="C138" s="56"/>
      <c r="D138" s="56"/>
      <c r="E138" s="56">
        <f t="shared" si="2"/>
        <v>0</v>
      </c>
      <c r="F138" s="77"/>
      <c r="G138" s="76"/>
      <c r="H138" s="54"/>
    </row>
    <row r="139" spans="1:8">
      <c r="A139" s="74"/>
      <c r="B139" s="54"/>
      <c r="C139" s="56"/>
      <c r="D139" s="56"/>
      <c r="E139" s="56">
        <f t="shared" si="2"/>
        <v>0</v>
      </c>
      <c r="F139" s="77"/>
      <c r="G139" s="76"/>
      <c r="H139" s="54"/>
    </row>
    <row r="140" spans="1:8">
      <c r="A140" s="74"/>
      <c r="B140" s="54"/>
      <c r="C140" s="56"/>
      <c r="D140" s="56"/>
      <c r="E140" s="56">
        <f t="shared" si="2"/>
        <v>0</v>
      </c>
      <c r="F140" s="77"/>
      <c r="G140" s="76"/>
      <c r="H140" s="54"/>
    </row>
    <row r="141" spans="1:8">
      <c r="A141" s="74"/>
      <c r="B141" s="54"/>
      <c r="C141" s="56"/>
      <c r="D141" s="56"/>
      <c r="E141" s="56">
        <f t="shared" si="2"/>
        <v>0</v>
      </c>
      <c r="F141" s="77"/>
      <c r="G141" s="76"/>
      <c r="H141" s="54"/>
    </row>
    <row r="142" spans="1:8">
      <c r="A142" s="74"/>
      <c r="B142" s="54"/>
      <c r="C142" s="56"/>
      <c r="D142" s="56"/>
      <c r="E142" s="56">
        <f t="shared" si="2"/>
        <v>0</v>
      </c>
      <c r="F142" s="77"/>
      <c r="G142" s="76"/>
      <c r="H142" s="54"/>
    </row>
    <row r="143" spans="1:8">
      <c r="A143" s="74"/>
      <c r="B143" s="54"/>
      <c r="C143" s="56"/>
      <c r="D143" s="56"/>
      <c r="E143" s="56">
        <f t="shared" si="2"/>
        <v>0</v>
      </c>
      <c r="F143" s="77"/>
      <c r="G143" s="76"/>
      <c r="H143" s="54"/>
    </row>
    <row r="144" spans="1:8">
      <c r="A144" s="74"/>
      <c r="B144" s="54"/>
      <c r="C144" s="56"/>
      <c r="D144" s="56"/>
      <c r="E144" s="56">
        <f t="shared" si="2"/>
        <v>0</v>
      </c>
      <c r="F144" s="77"/>
      <c r="G144" s="76"/>
      <c r="H144" s="54"/>
    </row>
    <row r="145" spans="1:8">
      <c r="A145" s="74"/>
      <c r="B145" s="54"/>
      <c r="C145" s="56"/>
      <c r="D145" s="56"/>
      <c r="E145" s="56">
        <f t="shared" si="2"/>
        <v>0</v>
      </c>
      <c r="F145" s="77"/>
      <c r="G145" s="76"/>
      <c r="H145" s="54"/>
    </row>
    <row r="146" spans="1:8">
      <c r="A146" s="74"/>
      <c r="B146" s="54"/>
      <c r="C146" s="56"/>
      <c r="D146" s="56"/>
      <c r="E146" s="56">
        <f t="shared" si="2"/>
        <v>0</v>
      </c>
      <c r="F146" s="77"/>
      <c r="G146" s="76"/>
      <c r="H146" s="54"/>
    </row>
    <row r="147" spans="1:8">
      <c r="A147" s="74"/>
      <c r="B147" s="54"/>
      <c r="C147" s="56"/>
      <c r="D147" s="56"/>
      <c r="E147" s="56">
        <f t="shared" si="2"/>
        <v>0</v>
      </c>
      <c r="F147" s="77"/>
      <c r="G147" s="76"/>
      <c r="H147" s="54"/>
    </row>
    <row r="148" spans="1:8">
      <c r="A148" s="74"/>
      <c r="B148" s="54"/>
      <c r="C148" s="56"/>
      <c r="D148" s="56"/>
      <c r="E148" s="56">
        <f t="shared" si="2"/>
        <v>0</v>
      </c>
      <c r="F148" s="77"/>
      <c r="G148" s="76"/>
      <c r="H148" s="54"/>
    </row>
    <row r="149" spans="1:8">
      <c r="A149" s="74"/>
      <c r="B149" s="54"/>
      <c r="C149" s="56"/>
      <c r="D149" s="56"/>
      <c r="E149" s="56">
        <f t="shared" si="2"/>
        <v>0</v>
      </c>
      <c r="F149" s="77"/>
      <c r="G149" s="76"/>
      <c r="H149" s="54"/>
    </row>
    <row r="150" spans="1:8" s="71" customFormat="1">
      <c r="A150" s="74"/>
      <c r="B150" s="54"/>
      <c r="C150" s="56"/>
      <c r="D150" s="56"/>
      <c r="E150" s="56">
        <f t="shared" si="2"/>
        <v>0</v>
      </c>
      <c r="F150" s="77"/>
      <c r="G150" s="76"/>
      <c r="H150" s="54"/>
    </row>
    <row r="151" spans="1:8">
      <c r="A151" s="74"/>
      <c r="B151" s="54"/>
      <c r="C151" s="56"/>
      <c r="D151" s="56"/>
      <c r="E151" s="56">
        <f t="shared" si="2"/>
        <v>0</v>
      </c>
      <c r="F151" s="78"/>
      <c r="G151" s="76"/>
      <c r="H151" s="54"/>
    </row>
    <row r="152" spans="1:8">
      <c r="A152" s="74"/>
      <c r="B152" s="54"/>
      <c r="C152" s="56"/>
      <c r="D152" s="56"/>
      <c r="E152" s="56">
        <f t="shared" si="2"/>
        <v>0</v>
      </c>
      <c r="F152" s="77"/>
      <c r="G152" s="54"/>
      <c r="H152" s="54"/>
    </row>
    <row r="153" spans="1:8">
      <c r="A153" s="74"/>
      <c r="B153" s="54"/>
      <c r="C153" s="56"/>
      <c r="D153" s="56"/>
      <c r="E153" s="56">
        <f t="shared" si="2"/>
        <v>0</v>
      </c>
      <c r="F153" s="77"/>
      <c r="G153" s="76"/>
      <c r="H153" s="54"/>
    </row>
    <row r="154" spans="1:8">
      <c r="A154" s="74"/>
      <c r="B154" s="54"/>
      <c r="C154" s="56"/>
      <c r="D154" s="56"/>
      <c r="E154" s="56">
        <f t="shared" si="2"/>
        <v>0</v>
      </c>
      <c r="F154" s="77"/>
      <c r="G154" s="76"/>
      <c r="H154" s="54"/>
    </row>
    <row r="155" spans="1:8">
      <c r="A155" s="74"/>
      <c r="B155" s="54"/>
      <c r="C155" s="56"/>
      <c r="D155" s="56"/>
      <c r="E155" s="56">
        <f t="shared" si="2"/>
        <v>0</v>
      </c>
      <c r="F155" s="77"/>
      <c r="G155" s="76"/>
      <c r="H155" s="54"/>
    </row>
    <row r="156" spans="1:8">
      <c r="A156" s="74"/>
      <c r="B156" s="54"/>
      <c r="C156" s="56"/>
      <c r="D156" s="56"/>
      <c r="E156" s="56">
        <f t="shared" si="2"/>
        <v>0</v>
      </c>
      <c r="F156" s="77"/>
      <c r="G156" s="76"/>
      <c r="H156" s="54"/>
    </row>
    <row r="157" spans="1:8">
      <c r="A157" s="74"/>
      <c r="B157" s="54"/>
      <c r="C157" s="56"/>
      <c r="D157" s="56"/>
      <c r="E157" s="56">
        <f t="shared" si="2"/>
        <v>0</v>
      </c>
      <c r="F157" s="77"/>
      <c r="G157" s="76"/>
      <c r="H157" s="54"/>
    </row>
    <row r="158" spans="1:8">
      <c r="A158" s="74"/>
      <c r="B158" s="54"/>
      <c r="C158" s="56"/>
      <c r="D158" s="56"/>
      <c r="E158" s="56">
        <f t="shared" si="2"/>
        <v>0</v>
      </c>
      <c r="F158" s="77"/>
      <c r="G158" s="76"/>
      <c r="H158" s="54"/>
    </row>
    <row r="159" spans="1:8">
      <c r="A159" s="74"/>
      <c r="B159" s="54"/>
      <c r="C159" s="56"/>
      <c r="D159" s="56"/>
      <c r="E159" s="56">
        <f t="shared" si="2"/>
        <v>0</v>
      </c>
      <c r="F159" s="77"/>
      <c r="G159" s="76"/>
      <c r="H159" s="54"/>
    </row>
    <row r="160" spans="1:8">
      <c r="A160" s="74"/>
      <c r="B160" s="54"/>
      <c r="C160" s="56"/>
      <c r="D160" s="56"/>
      <c r="E160" s="56">
        <f t="shared" si="2"/>
        <v>0</v>
      </c>
      <c r="F160" s="77"/>
      <c r="G160" s="76"/>
      <c r="H160" s="54"/>
    </row>
    <row r="161" spans="1:8">
      <c r="A161" s="74"/>
      <c r="B161" s="54"/>
      <c r="C161" s="56"/>
      <c r="D161" s="56"/>
      <c r="E161" s="56">
        <f t="shared" si="2"/>
        <v>0</v>
      </c>
      <c r="F161" s="77"/>
      <c r="G161" s="76"/>
      <c r="H161" s="54"/>
    </row>
    <row r="162" spans="1:8">
      <c r="A162" s="74"/>
      <c r="B162" s="54"/>
      <c r="C162" s="56"/>
      <c r="D162" s="56"/>
      <c r="E162" s="56">
        <f t="shared" si="2"/>
        <v>0</v>
      </c>
      <c r="F162" s="77"/>
      <c r="G162" s="76"/>
      <c r="H162" s="54"/>
    </row>
    <row r="163" spans="1:8">
      <c r="A163" s="74"/>
      <c r="B163" s="54"/>
      <c r="C163" s="56"/>
      <c r="D163" s="56"/>
      <c r="E163" s="56">
        <f t="shared" si="2"/>
        <v>0</v>
      </c>
      <c r="F163" s="77"/>
      <c r="G163" s="76"/>
      <c r="H163" s="54"/>
    </row>
    <row r="164" spans="1:8">
      <c r="C164" s="70">
        <f>SUM(C7:C163)</f>
        <v>0</v>
      </c>
      <c r="D164" s="70">
        <f>SUM(D7:D163)</f>
        <v>0</v>
      </c>
      <c r="F164" s="67"/>
    </row>
    <row r="168" spans="1:8">
      <c r="H168" t="s">
        <v>435</v>
      </c>
    </row>
  </sheetData>
  <autoFilter ref="A5:H5" xr:uid="{163EE640-5476-4526-A73E-2E8E04840C34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7FA8-B2A8-486D-800F-3DCAEC284B06}">
  <dimension ref="A1:H168"/>
  <sheetViews>
    <sheetView zoomScale="175" zoomScaleNormal="175" workbookViewId="0">
      <selection activeCell="A3" sqref="A3"/>
    </sheetView>
  </sheetViews>
  <sheetFormatPr baseColWidth="10" defaultColWidth="11.42578125" defaultRowHeight="15"/>
  <cols>
    <col min="2" max="2" width="22.28515625" customWidth="1"/>
    <col min="3" max="3" width="12.85546875" customWidth="1"/>
    <col min="4" max="4" width="12.7109375" customWidth="1"/>
    <col min="5" max="5" width="12.28515625" customWidth="1"/>
    <col min="6" max="6" width="10.140625" style="68" customWidth="1"/>
    <col min="7" max="7" width="65.42578125" customWidth="1"/>
    <col min="8" max="8" width="59.28515625" customWidth="1"/>
  </cols>
  <sheetData>
    <row r="1" spans="1:8">
      <c r="A1" s="15"/>
      <c r="B1" s="15"/>
      <c r="C1" s="32"/>
      <c r="D1" s="32"/>
      <c r="E1" s="28" t="s">
        <v>0</v>
      </c>
      <c r="F1" s="65"/>
      <c r="G1" s="29"/>
      <c r="H1" s="29"/>
    </row>
    <row r="2" spans="1:8">
      <c r="A2" s="30" t="s">
        <v>552</v>
      </c>
      <c r="B2" s="15"/>
      <c r="C2" s="32"/>
      <c r="D2" s="32"/>
      <c r="E2" s="28" t="s">
        <v>2</v>
      </c>
      <c r="F2" s="65"/>
      <c r="G2" s="29"/>
      <c r="H2" s="29"/>
    </row>
    <row r="3" spans="1:8">
      <c r="A3" s="30" t="s">
        <v>553</v>
      </c>
      <c r="B3" s="15"/>
      <c r="C3" s="32"/>
      <c r="D3" s="32"/>
      <c r="E3" s="28" t="s">
        <v>4</v>
      </c>
      <c r="F3" s="65"/>
      <c r="G3" s="29"/>
      <c r="H3" s="29"/>
    </row>
    <row r="4" spans="1:8">
      <c r="A4" s="29"/>
      <c r="B4" s="29"/>
      <c r="C4" s="31"/>
      <c r="D4" s="31"/>
      <c r="E4" s="29"/>
      <c r="F4" s="66"/>
      <c r="G4" s="29"/>
      <c r="H4" s="29"/>
    </row>
    <row r="5" spans="1:8">
      <c r="A5" s="7" t="s">
        <v>5</v>
      </c>
      <c r="B5" s="7" t="s">
        <v>6</v>
      </c>
      <c r="C5" s="33" t="s">
        <v>7</v>
      </c>
      <c r="D5" s="33" t="s">
        <v>8</v>
      </c>
      <c r="E5" s="9" t="s">
        <v>9</v>
      </c>
      <c r="F5" s="64" t="s">
        <v>432</v>
      </c>
      <c r="G5" s="63" t="s">
        <v>433</v>
      </c>
      <c r="H5" s="54" t="s">
        <v>434</v>
      </c>
    </row>
    <row r="6" spans="1:8">
      <c r="A6" s="10"/>
      <c r="B6" s="10" t="s">
        <v>11</v>
      </c>
      <c r="C6" s="48"/>
      <c r="D6" s="48">
        <v>0</v>
      </c>
      <c r="E6" s="45"/>
      <c r="F6" s="63"/>
      <c r="G6" s="63"/>
      <c r="H6" s="45"/>
    </row>
    <row r="7" spans="1:8" s="71" customFormat="1">
      <c r="A7" s="74"/>
      <c r="B7" s="54"/>
      <c r="C7" s="56"/>
      <c r="D7" s="56"/>
      <c r="E7" s="56">
        <f>D6-C7+D7</f>
        <v>0</v>
      </c>
      <c r="F7" s="75"/>
      <c r="G7" s="76"/>
      <c r="H7" s="54"/>
    </row>
    <row r="8" spans="1:8">
      <c r="A8" s="74"/>
      <c r="B8" s="54"/>
      <c r="C8" s="56"/>
      <c r="D8" s="56"/>
      <c r="E8" s="56">
        <f t="shared" ref="E8:E71" si="0">E7-C8+D8</f>
        <v>0</v>
      </c>
      <c r="F8" s="75"/>
      <c r="G8" s="76"/>
      <c r="H8" s="54"/>
    </row>
    <row r="9" spans="1:8">
      <c r="A9" s="74"/>
      <c r="B9" s="54"/>
      <c r="C9" s="56"/>
      <c r="D9" s="56"/>
      <c r="E9" s="56">
        <f t="shared" si="0"/>
        <v>0</v>
      </c>
      <c r="F9" s="77"/>
      <c r="G9" s="76"/>
      <c r="H9" s="54"/>
    </row>
    <row r="10" spans="1:8">
      <c r="A10" s="74"/>
      <c r="B10" s="54"/>
      <c r="C10" s="56"/>
      <c r="D10" s="56"/>
      <c r="E10" s="56">
        <f t="shared" si="0"/>
        <v>0</v>
      </c>
      <c r="F10" s="77"/>
      <c r="G10" s="76"/>
      <c r="H10" s="54"/>
    </row>
    <row r="11" spans="1:8">
      <c r="A11" s="74"/>
      <c r="B11" s="54"/>
      <c r="C11" s="56"/>
      <c r="D11" s="56"/>
      <c r="E11" s="56">
        <f t="shared" si="0"/>
        <v>0</v>
      </c>
      <c r="F11" s="77"/>
      <c r="G11" s="76"/>
      <c r="H11" s="54"/>
    </row>
    <row r="12" spans="1:8">
      <c r="A12" s="74"/>
      <c r="B12" s="54"/>
      <c r="C12" s="56"/>
      <c r="D12" s="56"/>
      <c r="E12" s="56">
        <f t="shared" si="0"/>
        <v>0</v>
      </c>
      <c r="F12" s="77"/>
      <c r="G12" s="76"/>
      <c r="H12" s="54"/>
    </row>
    <row r="13" spans="1:8">
      <c r="A13" s="74"/>
      <c r="B13" s="54"/>
      <c r="C13" s="56"/>
      <c r="D13" s="56"/>
      <c r="E13" s="56">
        <f t="shared" si="0"/>
        <v>0</v>
      </c>
      <c r="F13" s="77"/>
      <c r="G13" s="76"/>
      <c r="H13" s="54"/>
    </row>
    <row r="14" spans="1:8">
      <c r="A14" s="74"/>
      <c r="B14" s="54"/>
      <c r="C14" s="56"/>
      <c r="D14" s="56"/>
      <c r="E14" s="56">
        <f t="shared" si="0"/>
        <v>0</v>
      </c>
      <c r="F14" s="75"/>
      <c r="G14" s="76"/>
      <c r="H14" s="54"/>
    </row>
    <row r="15" spans="1:8">
      <c r="A15" s="74"/>
      <c r="B15" s="54"/>
      <c r="C15" s="56"/>
      <c r="D15" s="56"/>
      <c r="E15" s="56">
        <f t="shared" si="0"/>
        <v>0</v>
      </c>
      <c r="F15" s="77"/>
      <c r="G15" s="76"/>
      <c r="H15" s="54"/>
    </row>
    <row r="16" spans="1:8">
      <c r="A16" s="74"/>
      <c r="B16" s="54"/>
      <c r="C16" s="56"/>
      <c r="D16" s="56"/>
      <c r="E16" s="56">
        <f t="shared" si="0"/>
        <v>0</v>
      </c>
      <c r="F16" s="77"/>
      <c r="G16" s="76"/>
      <c r="H16" s="54"/>
    </row>
    <row r="17" spans="1:8">
      <c r="A17" s="74"/>
      <c r="B17" s="54"/>
      <c r="C17" s="56"/>
      <c r="D17" s="56"/>
      <c r="E17" s="56">
        <f t="shared" si="0"/>
        <v>0</v>
      </c>
      <c r="F17" s="77"/>
      <c r="G17" s="76"/>
      <c r="H17" s="54"/>
    </row>
    <row r="18" spans="1:8">
      <c r="A18" s="74"/>
      <c r="B18" s="54"/>
      <c r="C18" s="56"/>
      <c r="D18" s="56"/>
      <c r="E18" s="56">
        <f t="shared" si="0"/>
        <v>0</v>
      </c>
      <c r="F18" s="77"/>
      <c r="G18" s="76"/>
      <c r="H18" s="54"/>
    </row>
    <row r="19" spans="1:8">
      <c r="A19" s="74"/>
      <c r="B19" s="54"/>
      <c r="C19" s="56"/>
      <c r="D19" s="56"/>
      <c r="E19" s="56">
        <f t="shared" si="0"/>
        <v>0</v>
      </c>
      <c r="F19" s="77"/>
      <c r="G19" s="76"/>
      <c r="H19" s="54"/>
    </row>
    <row r="20" spans="1:8">
      <c r="A20" s="74"/>
      <c r="B20" s="54"/>
      <c r="C20" s="56"/>
      <c r="D20" s="56"/>
      <c r="E20" s="56">
        <f t="shared" si="0"/>
        <v>0</v>
      </c>
      <c r="F20" s="77"/>
      <c r="G20" s="76"/>
      <c r="H20" s="54"/>
    </row>
    <row r="21" spans="1:8">
      <c r="A21" s="74"/>
      <c r="B21" s="54"/>
      <c r="C21" s="56"/>
      <c r="D21" s="56"/>
      <c r="E21" s="56">
        <f t="shared" si="0"/>
        <v>0</v>
      </c>
      <c r="F21" s="77"/>
      <c r="G21" s="76"/>
      <c r="H21" s="54"/>
    </row>
    <row r="22" spans="1:8">
      <c r="A22" s="74"/>
      <c r="B22" s="54"/>
      <c r="C22" s="56"/>
      <c r="D22" s="56"/>
      <c r="E22" s="56">
        <f t="shared" si="0"/>
        <v>0</v>
      </c>
      <c r="F22" s="77"/>
      <c r="G22" s="76"/>
      <c r="H22" s="54"/>
    </row>
    <row r="23" spans="1:8">
      <c r="A23" s="74"/>
      <c r="B23" s="54"/>
      <c r="C23" s="56"/>
      <c r="D23" s="56"/>
      <c r="E23" s="56">
        <f t="shared" si="0"/>
        <v>0</v>
      </c>
      <c r="F23" s="77"/>
      <c r="G23" s="76"/>
      <c r="H23" s="54"/>
    </row>
    <row r="24" spans="1:8">
      <c r="A24" s="74"/>
      <c r="B24" s="54"/>
      <c r="C24" s="56"/>
      <c r="D24" s="56"/>
      <c r="E24" s="56">
        <f t="shared" si="0"/>
        <v>0</v>
      </c>
      <c r="F24" s="77"/>
      <c r="G24" s="76"/>
      <c r="H24" s="54"/>
    </row>
    <row r="25" spans="1:8">
      <c r="A25" s="74"/>
      <c r="B25" s="54"/>
      <c r="C25" s="56"/>
      <c r="D25" s="56"/>
      <c r="E25" s="56">
        <f t="shared" si="0"/>
        <v>0</v>
      </c>
      <c r="F25" s="77"/>
      <c r="G25" s="76"/>
      <c r="H25" s="54"/>
    </row>
    <row r="26" spans="1:8">
      <c r="A26" s="74"/>
      <c r="B26" s="54"/>
      <c r="C26" s="56"/>
      <c r="D26" s="56"/>
      <c r="E26" s="56">
        <f t="shared" si="0"/>
        <v>0</v>
      </c>
      <c r="F26" s="77"/>
      <c r="G26" s="76"/>
      <c r="H26" s="54"/>
    </row>
    <row r="27" spans="1:8">
      <c r="A27" s="74"/>
      <c r="B27" s="54"/>
      <c r="C27" s="56"/>
      <c r="D27" s="56"/>
      <c r="E27" s="56">
        <f t="shared" si="0"/>
        <v>0</v>
      </c>
      <c r="F27" s="77"/>
      <c r="G27" s="76"/>
      <c r="H27" s="54"/>
    </row>
    <row r="28" spans="1:8">
      <c r="A28" s="74"/>
      <c r="B28" s="54"/>
      <c r="C28" s="56"/>
      <c r="D28" s="56"/>
      <c r="E28" s="56">
        <f t="shared" si="0"/>
        <v>0</v>
      </c>
      <c r="F28" s="77"/>
      <c r="G28" s="76"/>
      <c r="H28" s="54"/>
    </row>
    <row r="29" spans="1:8">
      <c r="A29" s="74"/>
      <c r="B29" s="54"/>
      <c r="C29" s="56"/>
      <c r="D29" s="56"/>
      <c r="E29" s="56">
        <f t="shared" si="0"/>
        <v>0</v>
      </c>
      <c r="F29" s="78"/>
      <c r="G29" s="54"/>
      <c r="H29" s="54"/>
    </row>
    <row r="30" spans="1:8">
      <c r="A30" s="74"/>
      <c r="B30" s="54"/>
      <c r="C30" s="56"/>
      <c r="D30" s="56"/>
      <c r="E30" s="56">
        <f t="shared" si="0"/>
        <v>0</v>
      </c>
      <c r="F30" s="77"/>
      <c r="G30" s="76"/>
      <c r="H30" s="54"/>
    </row>
    <row r="31" spans="1:8">
      <c r="A31" s="74"/>
      <c r="B31" s="54"/>
      <c r="C31" s="56"/>
      <c r="D31" s="56"/>
      <c r="E31" s="56">
        <f t="shared" si="0"/>
        <v>0</v>
      </c>
      <c r="F31" s="78"/>
      <c r="G31" s="54"/>
      <c r="H31" s="54"/>
    </row>
    <row r="32" spans="1:8">
      <c r="A32" s="74"/>
      <c r="B32" s="54"/>
      <c r="C32" s="56"/>
      <c r="D32" s="56"/>
      <c r="E32" s="56">
        <f t="shared" si="0"/>
        <v>0</v>
      </c>
      <c r="F32" s="78"/>
      <c r="G32" s="79"/>
      <c r="H32" s="54"/>
    </row>
    <row r="33" spans="1:8">
      <c r="A33" s="74"/>
      <c r="B33" s="54"/>
      <c r="C33" s="56"/>
      <c r="D33" s="56"/>
      <c r="E33" s="56">
        <f t="shared" si="0"/>
        <v>0</v>
      </c>
      <c r="F33" s="78"/>
      <c r="G33" s="79"/>
      <c r="H33" s="54"/>
    </row>
    <row r="34" spans="1:8">
      <c r="A34" s="74"/>
      <c r="B34" s="54"/>
      <c r="C34" s="56"/>
      <c r="D34" s="56"/>
      <c r="E34" s="56">
        <f t="shared" si="0"/>
        <v>0</v>
      </c>
      <c r="F34" s="78"/>
      <c r="G34" s="54"/>
      <c r="H34" s="54"/>
    </row>
    <row r="35" spans="1:8">
      <c r="A35" s="74"/>
      <c r="B35" s="54"/>
      <c r="C35" s="56"/>
      <c r="D35" s="56"/>
      <c r="E35" s="56">
        <f t="shared" si="0"/>
        <v>0</v>
      </c>
      <c r="F35" s="77"/>
      <c r="G35" s="76"/>
      <c r="H35" s="54"/>
    </row>
    <row r="36" spans="1:8">
      <c r="A36" s="74"/>
      <c r="B36" s="54"/>
      <c r="C36" s="56"/>
      <c r="D36" s="56"/>
      <c r="E36" s="56">
        <f t="shared" si="0"/>
        <v>0</v>
      </c>
      <c r="F36" s="77"/>
      <c r="G36" s="76"/>
      <c r="H36" s="54"/>
    </row>
    <row r="37" spans="1:8">
      <c r="A37" s="74"/>
      <c r="B37" s="54"/>
      <c r="C37" s="56"/>
      <c r="D37" s="56"/>
      <c r="E37" s="56">
        <f t="shared" si="0"/>
        <v>0</v>
      </c>
      <c r="F37" s="77"/>
      <c r="G37" s="76"/>
      <c r="H37" s="54"/>
    </row>
    <row r="38" spans="1:8">
      <c r="A38" s="74"/>
      <c r="B38" s="54"/>
      <c r="C38" s="56"/>
      <c r="D38" s="56"/>
      <c r="E38" s="56">
        <f t="shared" si="0"/>
        <v>0</v>
      </c>
      <c r="F38" s="78"/>
      <c r="G38" s="54"/>
      <c r="H38" s="54"/>
    </row>
    <row r="39" spans="1:8">
      <c r="A39" s="74"/>
      <c r="B39" s="54"/>
      <c r="C39" s="56"/>
      <c r="D39" s="56"/>
      <c r="E39" s="56">
        <f t="shared" si="0"/>
        <v>0</v>
      </c>
      <c r="F39" s="78"/>
      <c r="G39" s="80"/>
      <c r="H39" s="54"/>
    </row>
    <row r="40" spans="1:8">
      <c r="A40" s="74"/>
      <c r="B40" s="54"/>
      <c r="C40" s="56"/>
      <c r="D40" s="56"/>
      <c r="E40" s="56">
        <f t="shared" si="0"/>
        <v>0</v>
      </c>
      <c r="F40" s="77"/>
      <c r="G40" s="76"/>
      <c r="H40" s="54"/>
    </row>
    <row r="41" spans="1:8">
      <c r="A41" s="74"/>
      <c r="B41" s="54"/>
      <c r="C41" s="56"/>
      <c r="D41" s="56"/>
      <c r="E41" s="56">
        <f t="shared" si="0"/>
        <v>0</v>
      </c>
      <c r="F41" s="77"/>
      <c r="G41" s="76"/>
      <c r="H41" s="54"/>
    </row>
    <row r="42" spans="1:8">
      <c r="A42" s="74"/>
      <c r="B42" s="54"/>
      <c r="C42" s="56"/>
      <c r="D42" s="56"/>
      <c r="E42" s="56">
        <f t="shared" si="0"/>
        <v>0</v>
      </c>
      <c r="F42" s="77"/>
      <c r="G42" s="76"/>
      <c r="H42" s="54"/>
    </row>
    <row r="43" spans="1:8">
      <c r="A43" s="74"/>
      <c r="B43" s="54"/>
      <c r="C43" s="56"/>
      <c r="D43" s="56"/>
      <c r="E43" s="56">
        <f t="shared" si="0"/>
        <v>0</v>
      </c>
      <c r="F43" s="77"/>
      <c r="G43" s="76"/>
      <c r="H43" s="54"/>
    </row>
    <row r="44" spans="1:8">
      <c r="A44" s="74"/>
      <c r="B44" s="54"/>
      <c r="C44" s="56"/>
      <c r="D44" s="56"/>
      <c r="E44" s="56">
        <f t="shared" si="0"/>
        <v>0</v>
      </c>
      <c r="F44" s="77"/>
      <c r="G44" s="76"/>
      <c r="H44" s="54"/>
    </row>
    <row r="45" spans="1:8">
      <c r="A45" s="74"/>
      <c r="B45" s="54"/>
      <c r="C45" s="56"/>
      <c r="D45" s="56"/>
      <c r="E45" s="56">
        <f t="shared" si="0"/>
        <v>0</v>
      </c>
      <c r="F45" s="77"/>
      <c r="G45" s="76"/>
      <c r="H45" s="54"/>
    </row>
    <row r="46" spans="1:8">
      <c r="A46" s="74"/>
      <c r="B46" s="54"/>
      <c r="C46" s="56"/>
      <c r="D46" s="56"/>
      <c r="E46" s="56">
        <f t="shared" si="0"/>
        <v>0</v>
      </c>
      <c r="F46" s="77"/>
      <c r="G46" s="76"/>
      <c r="H46" s="54"/>
    </row>
    <row r="47" spans="1:8">
      <c r="A47" s="74"/>
      <c r="B47" s="54"/>
      <c r="C47" s="56"/>
      <c r="D47" s="56"/>
      <c r="E47" s="56">
        <f t="shared" si="0"/>
        <v>0</v>
      </c>
      <c r="F47" s="77"/>
      <c r="G47" s="76"/>
      <c r="H47" s="54"/>
    </row>
    <row r="48" spans="1:8">
      <c r="A48" s="74"/>
      <c r="B48" s="54"/>
      <c r="C48" s="56"/>
      <c r="D48" s="56"/>
      <c r="E48" s="56">
        <f t="shared" si="0"/>
        <v>0</v>
      </c>
      <c r="F48" s="77"/>
      <c r="G48" s="76"/>
      <c r="H48" s="54"/>
    </row>
    <row r="49" spans="1:8">
      <c r="A49" s="74"/>
      <c r="B49" s="54"/>
      <c r="C49" s="56"/>
      <c r="D49" s="56"/>
      <c r="E49" s="56">
        <f t="shared" si="0"/>
        <v>0</v>
      </c>
      <c r="F49" s="78"/>
      <c r="G49" s="54"/>
      <c r="H49" s="54"/>
    </row>
    <row r="50" spans="1:8">
      <c r="A50" s="74"/>
      <c r="B50" s="54"/>
      <c r="C50" s="56"/>
      <c r="D50" s="56"/>
      <c r="E50" s="56">
        <f t="shared" si="0"/>
        <v>0</v>
      </c>
      <c r="F50" s="77"/>
      <c r="G50" s="76"/>
      <c r="H50" s="54"/>
    </row>
    <row r="51" spans="1:8">
      <c r="A51" s="74"/>
      <c r="B51" s="54"/>
      <c r="C51" s="56"/>
      <c r="D51" s="56"/>
      <c r="E51" s="56">
        <f t="shared" si="0"/>
        <v>0</v>
      </c>
      <c r="F51" s="77"/>
      <c r="G51" s="76"/>
      <c r="H51" s="54"/>
    </row>
    <row r="52" spans="1:8">
      <c r="A52" s="74"/>
      <c r="B52" s="54"/>
      <c r="C52" s="56"/>
      <c r="D52" s="56"/>
      <c r="E52" s="56">
        <f t="shared" si="0"/>
        <v>0</v>
      </c>
      <c r="F52" s="77"/>
      <c r="G52" s="76"/>
      <c r="H52" s="54"/>
    </row>
    <row r="53" spans="1:8">
      <c r="A53" s="74"/>
      <c r="B53" s="54"/>
      <c r="C53" s="56"/>
      <c r="D53" s="56"/>
      <c r="E53" s="56">
        <f t="shared" si="0"/>
        <v>0</v>
      </c>
      <c r="F53" s="77"/>
      <c r="G53" s="76"/>
      <c r="H53" s="54"/>
    </row>
    <row r="54" spans="1:8">
      <c r="A54" s="74"/>
      <c r="B54" s="54"/>
      <c r="C54" s="56"/>
      <c r="D54" s="56"/>
      <c r="E54" s="56">
        <f t="shared" si="0"/>
        <v>0</v>
      </c>
      <c r="F54" s="77"/>
      <c r="G54" s="76"/>
      <c r="H54" s="54"/>
    </row>
    <row r="55" spans="1:8">
      <c r="A55" s="74"/>
      <c r="B55" s="54"/>
      <c r="C55" s="56"/>
      <c r="D55" s="56"/>
      <c r="E55" s="56">
        <f t="shared" si="0"/>
        <v>0</v>
      </c>
      <c r="F55" s="77"/>
      <c r="G55" s="76"/>
      <c r="H55" s="54"/>
    </row>
    <row r="56" spans="1:8">
      <c r="A56" s="74"/>
      <c r="B56" s="54"/>
      <c r="C56" s="56"/>
      <c r="D56" s="56"/>
      <c r="E56" s="56">
        <f t="shared" si="0"/>
        <v>0</v>
      </c>
      <c r="F56" s="77"/>
      <c r="G56" s="76"/>
      <c r="H56" s="54"/>
    </row>
    <row r="57" spans="1:8">
      <c r="A57" s="74"/>
      <c r="B57" s="54"/>
      <c r="C57" s="56"/>
      <c r="D57" s="56"/>
      <c r="E57" s="56">
        <f t="shared" si="0"/>
        <v>0</v>
      </c>
      <c r="F57" s="77"/>
      <c r="G57" s="76"/>
      <c r="H57" s="54"/>
    </row>
    <row r="58" spans="1:8">
      <c r="A58" s="73"/>
      <c r="B58" s="54"/>
      <c r="C58" s="56"/>
      <c r="D58" s="56"/>
      <c r="E58" s="56">
        <f t="shared" si="0"/>
        <v>0</v>
      </c>
      <c r="F58" s="77"/>
      <c r="G58" s="76"/>
      <c r="H58" s="54"/>
    </row>
    <row r="59" spans="1:8">
      <c r="A59" s="73"/>
      <c r="B59" s="54"/>
      <c r="C59" s="56"/>
      <c r="D59" s="56"/>
      <c r="E59" s="56">
        <f t="shared" si="0"/>
        <v>0</v>
      </c>
      <c r="F59" s="77"/>
      <c r="G59" s="76"/>
      <c r="H59" s="54"/>
    </row>
    <row r="60" spans="1:8" s="71" customFormat="1">
      <c r="A60" s="73"/>
      <c r="B60" s="54"/>
      <c r="C60" s="56"/>
      <c r="D60" s="56"/>
      <c r="E60" s="56">
        <f t="shared" si="0"/>
        <v>0</v>
      </c>
      <c r="F60" s="77"/>
      <c r="G60" s="76"/>
      <c r="H60" s="54"/>
    </row>
    <row r="61" spans="1:8" s="71" customFormat="1">
      <c r="A61" s="73"/>
      <c r="B61" s="54"/>
      <c r="C61" s="56"/>
      <c r="D61" s="56"/>
      <c r="E61" s="56">
        <f t="shared" si="0"/>
        <v>0</v>
      </c>
      <c r="F61" s="77"/>
      <c r="G61" s="76"/>
      <c r="H61" s="54"/>
    </row>
    <row r="62" spans="1:8" s="71" customFormat="1">
      <c r="A62" s="73"/>
      <c r="B62" s="54"/>
      <c r="C62" s="56"/>
      <c r="D62" s="56"/>
      <c r="E62" s="56">
        <f t="shared" si="0"/>
        <v>0</v>
      </c>
      <c r="F62" s="77"/>
      <c r="G62" s="76"/>
      <c r="H62" s="54"/>
    </row>
    <row r="63" spans="1:8" s="71" customFormat="1">
      <c r="A63" s="73"/>
      <c r="B63" s="54"/>
      <c r="C63" s="56"/>
      <c r="D63" s="56"/>
      <c r="E63" s="56">
        <f t="shared" si="0"/>
        <v>0</v>
      </c>
      <c r="F63" s="77"/>
      <c r="G63" s="76"/>
      <c r="H63" s="54"/>
    </row>
    <row r="64" spans="1:8" s="71" customFormat="1">
      <c r="A64" s="73"/>
      <c r="B64" s="54"/>
      <c r="C64" s="56"/>
      <c r="D64" s="56"/>
      <c r="E64" s="56">
        <f t="shared" si="0"/>
        <v>0</v>
      </c>
      <c r="F64" s="77"/>
      <c r="G64" s="76"/>
      <c r="H64" s="54"/>
    </row>
    <row r="65" spans="1:8" s="71" customFormat="1">
      <c r="A65" s="73"/>
      <c r="B65" s="54"/>
      <c r="C65" s="56"/>
      <c r="D65" s="56"/>
      <c r="E65" s="56">
        <f t="shared" si="0"/>
        <v>0</v>
      </c>
      <c r="F65" s="77"/>
      <c r="G65" s="76"/>
      <c r="H65" s="54"/>
    </row>
    <row r="66" spans="1:8" s="71" customFormat="1">
      <c r="A66" s="73"/>
      <c r="B66" s="54"/>
      <c r="C66" s="56"/>
      <c r="D66" s="56"/>
      <c r="E66" s="56">
        <f t="shared" si="0"/>
        <v>0</v>
      </c>
      <c r="F66" s="77"/>
      <c r="G66" s="76"/>
      <c r="H66" s="54"/>
    </row>
    <row r="67" spans="1:8" s="71" customFormat="1">
      <c r="A67" s="73"/>
      <c r="B67" s="54"/>
      <c r="C67" s="56"/>
      <c r="D67" s="56"/>
      <c r="E67" s="56">
        <f t="shared" si="0"/>
        <v>0</v>
      </c>
      <c r="F67" s="77"/>
      <c r="G67" s="76"/>
      <c r="H67" s="54"/>
    </row>
    <row r="68" spans="1:8" s="71" customFormat="1">
      <c r="A68" s="73"/>
      <c r="B68" s="54"/>
      <c r="C68" s="56"/>
      <c r="D68" s="56"/>
      <c r="E68" s="56">
        <f t="shared" si="0"/>
        <v>0</v>
      </c>
      <c r="F68" s="77"/>
      <c r="G68" s="76"/>
      <c r="H68" s="54"/>
    </row>
    <row r="69" spans="1:8" s="71" customFormat="1">
      <c r="A69" s="73"/>
      <c r="B69" s="54"/>
      <c r="C69" s="56"/>
      <c r="D69" s="56"/>
      <c r="E69" s="56">
        <f t="shared" si="0"/>
        <v>0</v>
      </c>
      <c r="F69" s="77"/>
      <c r="G69" s="76"/>
      <c r="H69" s="54"/>
    </row>
    <row r="70" spans="1:8">
      <c r="A70" s="73"/>
      <c r="B70" s="54"/>
      <c r="C70" s="56"/>
      <c r="D70" s="56"/>
      <c r="E70" s="56">
        <f t="shared" si="0"/>
        <v>0</v>
      </c>
      <c r="F70" s="75"/>
      <c r="G70" s="76"/>
      <c r="H70" s="54"/>
    </row>
    <row r="71" spans="1:8">
      <c r="A71" s="74"/>
      <c r="B71" s="54"/>
      <c r="C71" s="56"/>
      <c r="D71" s="56"/>
      <c r="E71" s="56">
        <f t="shared" si="0"/>
        <v>0</v>
      </c>
      <c r="F71" s="77"/>
      <c r="G71" s="76"/>
      <c r="H71" s="54"/>
    </row>
    <row r="72" spans="1:8">
      <c r="A72" s="74"/>
      <c r="B72" s="54"/>
      <c r="C72" s="56"/>
      <c r="D72" s="56"/>
      <c r="E72" s="56">
        <f t="shared" ref="E72:E135" si="1">E71-C72+D72</f>
        <v>0</v>
      </c>
      <c r="F72" s="77"/>
      <c r="G72" s="76"/>
      <c r="H72" s="54"/>
    </row>
    <row r="73" spans="1:8" s="72" customFormat="1">
      <c r="A73" s="74"/>
      <c r="B73" s="54"/>
      <c r="C73" s="56"/>
      <c r="D73" s="56"/>
      <c r="E73" s="56">
        <f t="shared" si="1"/>
        <v>0</v>
      </c>
      <c r="F73" s="77"/>
      <c r="G73" s="76"/>
      <c r="H73" s="54"/>
    </row>
    <row r="74" spans="1:8">
      <c r="A74" s="74"/>
      <c r="B74" s="54"/>
      <c r="C74" s="56"/>
      <c r="D74" s="56"/>
      <c r="E74" s="56">
        <f t="shared" si="1"/>
        <v>0</v>
      </c>
      <c r="F74" s="77"/>
      <c r="G74" s="76"/>
      <c r="H74" s="54"/>
    </row>
    <row r="75" spans="1:8">
      <c r="A75" s="74"/>
      <c r="B75" s="54"/>
      <c r="C75" s="56"/>
      <c r="D75" s="56"/>
      <c r="E75" s="56">
        <f t="shared" si="1"/>
        <v>0</v>
      </c>
      <c r="F75" s="77"/>
      <c r="G75" s="76"/>
      <c r="H75" s="54"/>
    </row>
    <row r="76" spans="1:8">
      <c r="A76" s="74"/>
      <c r="B76" s="54"/>
      <c r="C76" s="56"/>
      <c r="D76" s="56"/>
      <c r="E76" s="56">
        <f t="shared" si="1"/>
        <v>0</v>
      </c>
      <c r="F76" s="77"/>
      <c r="G76" s="76"/>
      <c r="H76" s="54"/>
    </row>
    <row r="77" spans="1:8">
      <c r="A77" s="74"/>
      <c r="B77" s="54"/>
      <c r="C77" s="56"/>
      <c r="D77" s="56"/>
      <c r="E77" s="56">
        <f t="shared" si="1"/>
        <v>0</v>
      </c>
      <c r="F77" s="77"/>
      <c r="G77" s="76"/>
      <c r="H77" s="54"/>
    </row>
    <row r="78" spans="1:8">
      <c r="A78" s="74"/>
      <c r="B78" s="54"/>
      <c r="C78" s="56"/>
      <c r="D78" s="56"/>
      <c r="E78" s="56">
        <f t="shared" si="1"/>
        <v>0</v>
      </c>
      <c r="F78" s="77"/>
      <c r="G78" s="76"/>
      <c r="H78" s="54"/>
    </row>
    <row r="79" spans="1:8">
      <c r="A79" s="74"/>
      <c r="B79" s="54"/>
      <c r="C79" s="56"/>
      <c r="D79" s="56"/>
      <c r="E79" s="56">
        <f t="shared" si="1"/>
        <v>0</v>
      </c>
      <c r="F79" s="77"/>
      <c r="G79" s="76"/>
      <c r="H79" s="54"/>
    </row>
    <row r="80" spans="1:8">
      <c r="A80" s="74"/>
      <c r="B80" s="54"/>
      <c r="C80" s="56"/>
      <c r="D80" s="56"/>
      <c r="E80" s="56">
        <f t="shared" si="1"/>
        <v>0</v>
      </c>
      <c r="F80" s="77"/>
      <c r="G80" s="76"/>
      <c r="H80" s="54"/>
    </row>
    <row r="81" spans="1:8">
      <c r="A81" s="74"/>
      <c r="B81" s="54"/>
      <c r="C81" s="56"/>
      <c r="D81" s="56"/>
      <c r="E81" s="56">
        <f t="shared" si="1"/>
        <v>0</v>
      </c>
      <c r="F81" s="77"/>
      <c r="G81" s="76"/>
      <c r="H81" s="54"/>
    </row>
    <row r="82" spans="1:8">
      <c r="A82" s="74"/>
      <c r="B82" s="54"/>
      <c r="C82" s="56"/>
      <c r="D82" s="56"/>
      <c r="E82" s="56">
        <f t="shared" si="1"/>
        <v>0</v>
      </c>
      <c r="F82" s="77"/>
      <c r="G82" s="76"/>
      <c r="H82" s="54"/>
    </row>
    <row r="83" spans="1:8">
      <c r="A83" s="74"/>
      <c r="B83" s="54"/>
      <c r="C83" s="56"/>
      <c r="D83" s="56"/>
      <c r="E83" s="56">
        <f t="shared" si="1"/>
        <v>0</v>
      </c>
      <c r="F83" s="77"/>
      <c r="G83" s="76"/>
      <c r="H83" s="54"/>
    </row>
    <row r="84" spans="1:8">
      <c r="A84" s="74"/>
      <c r="B84" s="54"/>
      <c r="C84" s="56"/>
      <c r="D84" s="56"/>
      <c r="E84" s="56">
        <f t="shared" si="1"/>
        <v>0</v>
      </c>
      <c r="F84" s="77"/>
      <c r="G84" s="76"/>
      <c r="H84" s="54"/>
    </row>
    <row r="85" spans="1:8">
      <c r="A85" s="74"/>
      <c r="B85" s="54"/>
      <c r="C85" s="56"/>
      <c r="D85" s="56"/>
      <c r="E85" s="56">
        <f t="shared" si="1"/>
        <v>0</v>
      </c>
      <c r="F85" s="77"/>
      <c r="G85" s="76"/>
      <c r="H85" s="54"/>
    </row>
    <row r="86" spans="1:8">
      <c r="A86" s="74"/>
      <c r="B86" s="54"/>
      <c r="C86" s="56"/>
      <c r="D86" s="56"/>
      <c r="E86" s="56">
        <f t="shared" si="1"/>
        <v>0</v>
      </c>
      <c r="F86" s="77"/>
      <c r="G86" s="76"/>
      <c r="H86" s="54"/>
    </row>
    <row r="87" spans="1:8">
      <c r="A87" s="74"/>
      <c r="B87" s="54"/>
      <c r="C87" s="56"/>
      <c r="D87" s="56"/>
      <c r="E87" s="56">
        <f t="shared" si="1"/>
        <v>0</v>
      </c>
      <c r="F87" s="77"/>
      <c r="G87" s="76"/>
      <c r="H87" s="54"/>
    </row>
    <row r="88" spans="1:8">
      <c r="A88" s="74"/>
      <c r="B88" s="54"/>
      <c r="C88" s="56"/>
      <c r="D88" s="56"/>
      <c r="E88" s="56">
        <f t="shared" si="1"/>
        <v>0</v>
      </c>
      <c r="F88" s="77"/>
      <c r="G88" s="76"/>
      <c r="H88" s="54"/>
    </row>
    <row r="89" spans="1:8">
      <c r="A89" s="74"/>
      <c r="B89" s="54"/>
      <c r="C89" s="56"/>
      <c r="D89" s="56"/>
      <c r="E89" s="56">
        <f t="shared" si="1"/>
        <v>0</v>
      </c>
      <c r="F89" s="77"/>
      <c r="G89" s="76"/>
      <c r="H89" s="54"/>
    </row>
    <row r="90" spans="1:8">
      <c r="A90" s="74"/>
      <c r="B90" s="54"/>
      <c r="C90" s="56"/>
      <c r="D90" s="56"/>
      <c r="E90" s="56">
        <f t="shared" si="1"/>
        <v>0</v>
      </c>
      <c r="F90" s="77"/>
      <c r="G90" s="76"/>
      <c r="H90" s="54"/>
    </row>
    <row r="91" spans="1:8">
      <c r="A91" s="74"/>
      <c r="B91" s="54"/>
      <c r="C91" s="56"/>
      <c r="D91" s="56"/>
      <c r="E91" s="56">
        <f t="shared" si="1"/>
        <v>0</v>
      </c>
      <c r="F91" s="77"/>
      <c r="G91" s="76"/>
      <c r="H91" s="54"/>
    </row>
    <row r="92" spans="1:8">
      <c r="A92" s="74"/>
      <c r="B92" s="54"/>
      <c r="C92" s="56"/>
      <c r="D92" s="56"/>
      <c r="E92" s="56">
        <f t="shared" si="1"/>
        <v>0</v>
      </c>
      <c r="F92" s="77"/>
      <c r="G92" s="76"/>
      <c r="H92" s="54"/>
    </row>
    <row r="93" spans="1:8">
      <c r="A93" s="74"/>
      <c r="B93" s="54"/>
      <c r="C93" s="56"/>
      <c r="D93" s="56"/>
      <c r="E93" s="56">
        <f t="shared" si="1"/>
        <v>0</v>
      </c>
      <c r="F93" s="78"/>
      <c r="G93" s="76"/>
      <c r="H93" s="54"/>
    </row>
    <row r="94" spans="1:8">
      <c r="A94" s="74"/>
      <c r="B94" s="54"/>
      <c r="C94" s="56"/>
      <c r="D94" s="56"/>
      <c r="E94" s="56">
        <f t="shared" si="1"/>
        <v>0</v>
      </c>
      <c r="F94" s="77"/>
      <c r="G94" s="81"/>
      <c r="H94" s="54"/>
    </row>
    <row r="95" spans="1:8">
      <c r="A95" s="74"/>
      <c r="B95" s="54"/>
      <c r="C95" s="56"/>
      <c r="D95" s="56"/>
      <c r="E95" s="56">
        <f t="shared" si="1"/>
        <v>0</v>
      </c>
      <c r="F95" s="77"/>
      <c r="G95" s="76"/>
      <c r="H95" s="54"/>
    </row>
    <row r="96" spans="1:8">
      <c r="A96" s="74"/>
      <c r="B96" s="54"/>
      <c r="C96" s="56"/>
      <c r="D96" s="56"/>
      <c r="E96" s="56">
        <f t="shared" si="1"/>
        <v>0</v>
      </c>
      <c r="F96" s="77"/>
      <c r="G96" s="76"/>
      <c r="H96" s="54"/>
    </row>
    <row r="97" spans="1:8">
      <c r="A97" s="74"/>
      <c r="B97" s="54"/>
      <c r="C97" s="56"/>
      <c r="D97" s="56"/>
      <c r="E97" s="56">
        <f t="shared" si="1"/>
        <v>0</v>
      </c>
      <c r="F97" s="77"/>
      <c r="G97" s="69"/>
      <c r="H97" s="82"/>
    </row>
    <row r="98" spans="1:8">
      <c r="A98" s="74"/>
      <c r="B98" s="54"/>
      <c r="C98" s="56"/>
      <c r="D98" s="56"/>
      <c r="E98" s="56">
        <f t="shared" si="1"/>
        <v>0</v>
      </c>
      <c r="F98" s="77"/>
      <c r="G98" s="76"/>
      <c r="H98" s="82"/>
    </row>
    <row r="99" spans="1:8">
      <c r="A99" s="74"/>
      <c r="B99" s="54"/>
      <c r="C99" s="56"/>
      <c r="D99" s="56"/>
      <c r="E99" s="56">
        <f t="shared" si="1"/>
        <v>0</v>
      </c>
      <c r="F99" s="77"/>
      <c r="G99" s="76"/>
      <c r="H99" s="54"/>
    </row>
    <row r="100" spans="1:8" s="71" customFormat="1">
      <c r="A100" s="74"/>
      <c r="B100" s="54"/>
      <c r="C100" s="56"/>
      <c r="D100" s="56"/>
      <c r="E100" s="56">
        <f t="shared" si="1"/>
        <v>0</v>
      </c>
      <c r="F100" s="77"/>
      <c r="G100" s="69"/>
      <c r="H100" s="82"/>
    </row>
    <row r="101" spans="1:8">
      <c r="A101" s="74"/>
      <c r="B101" s="54"/>
      <c r="C101" s="56"/>
      <c r="D101" s="56"/>
      <c r="E101" s="56">
        <f t="shared" si="1"/>
        <v>0</v>
      </c>
      <c r="F101" s="77"/>
      <c r="G101" s="76"/>
      <c r="H101" s="54"/>
    </row>
    <row r="102" spans="1:8">
      <c r="A102" s="74"/>
      <c r="B102" s="54"/>
      <c r="C102" s="56"/>
      <c r="D102" s="56"/>
      <c r="E102" s="56">
        <f t="shared" si="1"/>
        <v>0</v>
      </c>
      <c r="F102" s="77"/>
      <c r="G102" s="76"/>
      <c r="H102" s="54"/>
    </row>
    <row r="103" spans="1:8" s="71" customFormat="1">
      <c r="A103" s="74"/>
      <c r="B103" s="54"/>
      <c r="C103" s="56"/>
      <c r="D103" s="56"/>
      <c r="E103" s="56">
        <f t="shared" si="1"/>
        <v>0</v>
      </c>
      <c r="F103" s="77"/>
      <c r="G103" s="69"/>
      <c r="H103" s="82"/>
    </row>
    <row r="104" spans="1:8">
      <c r="A104" s="74"/>
      <c r="B104" s="54"/>
      <c r="C104" s="56"/>
      <c r="D104" s="56"/>
      <c r="E104" s="56">
        <f t="shared" si="1"/>
        <v>0</v>
      </c>
      <c r="F104" s="77"/>
      <c r="G104" s="76"/>
      <c r="H104" s="54"/>
    </row>
    <row r="105" spans="1:8">
      <c r="A105" s="74"/>
      <c r="B105" s="54"/>
      <c r="C105" s="56"/>
      <c r="D105" s="56"/>
      <c r="E105" s="56">
        <f t="shared" si="1"/>
        <v>0</v>
      </c>
      <c r="F105" s="77"/>
      <c r="G105" s="76"/>
      <c r="H105" s="54"/>
    </row>
    <row r="106" spans="1:8">
      <c r="A106" s="74"/>
      <c r="B106" s="54"/>
      <c r="C106" s="56"/>
      <c r="D106" s="56"/>
      <c r="E106" s="56">
        <f t="shared" si="1"/>
        <v>0</v>
      </c>
      <c r="F106" s="77"/>
      <c r="G106" s="76"/>
      <c r="H106" s="54"/>
    </row>
    <row r="107" spans="1:8" s="71" customFormat="1">
      <c r="A107" s="74"/>
      <c r="B107" s="54"/>
      <c r="C107" s="56"/>
      <c r="D107" s="56"/>
      <c r="E107" s="56">
        <f t="shared" si="1"/>
        <v>0</v>
      </c>
      <c r="F107" s="77"/>
      <c r="G107" s="76"/>
      <c r="H107" s="54"/>
    </row>
    <row r="108" spans="1:8" s="71" customFormat="1">
      <c r="A108" s="74"/>
      <c r="B108" s="54"/>
      <c r="C108" s="56"/>
      <c r="D108" s="56"/>
      <c r="E108" s="56">
        <f t="shared" si="1"/>
        <v>0</v>
      </c>
      <c r="F108" s="77"/>
      <c r="G108" s="76"/>
      <c r="H108" s="54"/>
    </row>
    <row r="109" spans="1:8" s="71" customFormat="1">
      <c r="A109" s="74"/>
      <c r="B109" s="54"/>
      <c r="C109" s="56"/>
      <c r="D109" s="56"/>
      <c r="E109" s="56">
        <f t="shared" si="1"/>
        <v>0</v>
      </c>
      <c r="F109" s="77"/>
      <c r="G109" s="76"/>
      <c r="H109" s="54"/>
    </row>
    <row r="110" spans="1:8">
      <c r="A110" s="74"/>
      <c r="B110" s="54"/>
      <c r="C110" s="56"/>
      <c r="D110" s="56"/>
      <c r="E110" s="56">
        <f t="shared" si="1"/>
        <v>0</v>
      </c>
      <c r="F110" s="77"/>
      <c r="G110" s="76"/>
      <c r="H110" s="54"/>
    </row>
    <row r="111" spans="1:8" s="71" customFormat="1">
      <c r="A111" s="74"/>
      <c r="B111" s="54"/>
      <c r="C111" s="56"/>
      <c r="D111" s="56"/>
      <c r="E111" s="56">
        <f t="shared" si="1"/>
        <v>0</v>
      </c>
      <c r="F111" s="77"/>
      <c r="G111" s="76"/>
      <c r="H111" s="54"/>
    </row>
    <row r="112" spans="1:8">
      <c r="A112" s="74"/>
      <c r="B112" s="54"/>
      <c r="C112" s="56"/>
      <c r="D112" s="56"/>
      <c r="E112" s="56">
        <f t="shared" si="1"/>
        <v>0</v>
      </c>
      <c r="F112" s="77"/>
      <c r="G112" s="76"/>
      <c r="H112" s="54"/>
    </row>
    <row r="113" spans="1:8">
      <c r="A113" s="74"/>
      <c r="B113" s="54"/>
      <c r="C113" s="56"/>
      <c r="D113" s="56"/>
      <c r="E113" s="56">
        <f t="shared" si="1"/>
        <v>0</v>
      </c>
      <c r="F113" s="77"/>
      <c r="G113" s="76"/>
      <c r="H113" s="54"/>
    </row>
    <row r="114" spans="1:8">
      <c r="A114" s="74"/>
      <c r="B114" s="54"/>
      <c r="C114" s="56"/>
      <c r="D114" s="56"/>
      <c r="E114" s="56">
        <f t="shared" si="1"/>
        <v>0</v>
      </c>
      <c r="F114" s="77"/>
      <c r="G114" s="76"/>
      <c r="H114" s="54"/>
    </row>
    <row r="115" spans="1:8">
      <c r="A115" s="74"/>
      <c r="B115" s="54"/>
      <c r="C115" s="56"/>
      <c r="D115" s="56"/>
      <c r="E115" s="56">
        <f t="shared" si="1"/>
        <v>0</v>
      </c>
      <c r="F115" s="77"/>
      <c r="G115" s="76"/>
      <c r="H115" s="54"/>
    </row>
    <row r="116" spans="1:8">
      <c r="A116" s="74"/>
      <c r="B116" s="54"/>
      <c r="C116" s="56"/>
      <c r="D116" s="56"/>
      <c r="E116" s="56">
        <f t="shared" si="1"/>
        <v>0</v>
      </c>
      <c r="F116" s="77"/>
      <c r="G116" s="76"/>
      <c r="H116" s="54"/>
    </row>
    <row r="117" spans="1:8">
      <c r="A117" s="74"/>
      <c r="B117" s="54"/>
      <c r="C117" s="56"/>
      <c r="D117" s="56"/>
      <c r="E117" s="56">
        <f t="shared" si="1"/>
        <v>0</v>
      </c>
      <c r="F117" s="77"/>
      <c r="G117" s="76"/>
      <c r="H117" s="54"/>
    </row>
    <row r="118" spans="1:8">
      <c r="A118" s="74"/>
      <c r="B118" s="54"/>
      <c r="C118" s="56"/>
      <c r="D118" s="56"/>
      <c r="E118" s="56">
        <f t="shared" si="1"/>
        <v>0</v>
      </c>
      <c r="F118" s="77"/>
      <c r="G118" s="76"/>
      <c r="H118" s="54"/>
    </row>
    <row r="119" spans="1:8">
      <c r="A119" s="74"/>
      <c r="B119" s="54"/>
      <c r="C119" s="56"/>
      <c r="D119" s="56"/>
      <c r="E119" s="56">
        <f t="shared" si="1"/>
        <v>0</v>
      </c>
      <c r="F119" s="77"/>
      <c r="G119" s="69"/>
      <c r="H119" s="54"/>
    </row>
    <row r="120" spans="1:8">
      <c r="A120" s="74"/>
      <c r="B120" s="54"/>
      <c r="C120" s="56"/>
      <c r="D120" s="56"/>
      <c r="E120" s="56">
        <f t="shared" si="1"/>
        <v>0</v>
      </c>
      <c r="F120" s="77"/>
      <c r="G120" s="69"/>
      <c r="H120" s="54"/>
    </row>
    <row r="121" spans="1:8">
      <c r="A121" s="74"/>
      <c r="B121" s="54"/>
      <c r="C121" s="56"/>
      <c r="D121" s="56"/>
      <c r="E121" s="56">
        <f t="shared" si="1"/>
        <v>0</v>
      </c>
      <c r="F121" s="77"/>
      <c r="G121" s="69"/>
      <c r="H121" s="54"/>
    </row>
    <row r="122" spans="1:8">
      <c r="A122" s="74"/>
      <c r="B122" s="54"/>
      <c r="C122" s="56"/>
      <c r="D122" s="56"/>
      <c r="E122" s="56">
        <f t="shared" si="1"/>
        <v>0</v>
      </c>
      <c r="F122" s="77"/>
      <c r="G122" s="76"/>
      <c r="H122" s="54"/>
    </row>
    <row r="123" spans="1:8">
      <c r="A123" s="83"/>
      <c r="B123" s="54"/>
      <c r="C123" s="56"/>
      <c r="D123" s="84"/>
      <c r="E123" s="56">
        <f t="shared" si="1"/>
        <v>0</v>
      </c>
      <c r="F123" s="77"/>
      <c r="G123" s="76"/>
      <c r="H123" s="54"/>
    </row>
    <row r="124" spans="1:8">
      <c r="A124" s="74"/>
      <c r="B124" s="54"/>
      <c r="C124" s="56"/>
      <c r="D124" s="56"/>
      <c r="E124" s="56">
        <f t="shared" si="1"/>
        <v>0</v>
      </c>
      <c r="F124" s="77"/>
      <c r="G124" s="69"/>
      <c r="H124" s="54"/>
    </row>
    <row r="125" spans="1:8">
      <c r="A125" s="74"/>
      <c r="B125" s="54"/>
      <c r="C125" s="56"/>
      <c r="D125" s="56"/>
      <c r="E125" s="56">
        <f t="shared" si="1"/>
        <v>0</v>
      </c>
      <c r="F125" s="77"/>
      <c r="G125" s="76"/>
      <c r="H125" s="54"/>
    </row>
    <row r="126" spans="1:8">
      <c r="A126" s="74"/>
      <c r="B126" s="54"/>
      <c r="C126" s="56"/>
      <c r="D126" s="56"/>
      <c r="E126" s="56">
        <f t="shared" si="1"/>
        <v>0</v>
      </c>
      <c r="F126" s="77"/>
      <c r="G126" s="76"/>
      <c r="H126" s="54"/>
    </row>
    <row r="127" spans="1:8">
      <c r="A127" s="74"/>
      <c r="B127" s="54"/>
      <c r="C127" s="56"/>
      <c r="D127" s="56"/>
      <c r="E127" s="56">
        <f t="shared" si="1"/>
        <v>0</v>
      </c>
      <c r="F127" s="77"/>
      <c r="G127" s="76"/>
      <c r="H127" s="54"/>
    </row>
    <row r="128" spans="1:8">
      <c r="A128" s="74"/>
      <c r="B128" s="54"/>
      <c r="C128" s="56"/>
      <c r="D128" s="56"/>
      <c r="E128" s="56">
        <f t="shared" si="1"/>
        <v>0</v>
      </c>
      <c r="F128" s="77"/>
      <c r="G128" s="76"/>
      <c r="H128" s="54"/>
    </row>
    <row r="129" spans="1:8">
      <c r="A129" s="83"/>
      <c r="B129" s="54"/>
      <c r="C129" s="56"/>
      <c r="D129" s="56"/>
      <c r="E129" s="56">
        <f t="shared" si="1"/>
        <v>0</v>
      </c>
      <c r="F129" s="77"/>
      <c r="G129" s="76"/>
      <c r="H129" s="54"/>
    </row>
    <row r="130" spans="1:8">
      <c r="A130" s="74"/>
      <c r="B130" s="54"/>
      <c r="C130" s="56"/>
      <c r="D130" s="56"/>
      <c r="E130" s="56">
        <f t="shared" si="1"/>
        <v>0</v>
      </c>
      <c r="F130" s="77"/>
      <c r="G130" s="76"/>
      <c r="H130" s="54"/>
    </row>
    <row r="131" spans="1:8" s="71" customFormat="1">
      <c r="A131" s="74"/>
      <c r="B131" s="54"/>
      <c r="C131" s="56"/>
      <c r="D131" s="56"/>
      <c r="E131" s="56">
        <f t="shared" si="1"/>
        <v>0</v>
      </c>
      <c r="F131" s="77"/>
      <c r="G131" s="76"/>
      <c r="H131" s="54"/>
    </row>
    <row r="132" spans="1:8">
      <c r="A132" s="74"/>
      <c r="B132" s="54"/>
      <c r="C132" s="56"/>
      <c r="D132" s="56"/>
      <c r="E132" s="56">
        <f t="shared" si="1"/>
        <v>0</v>
      </c>
      <c r="F132" s="77"/>
      <c r="G132" s="76"/>
      <c r="H132" s="54"/>
    </row>
    <row r="133" spans="1:8">
      <c r="A133" s="74"/>
      <c r="B133" s="54"/>
      <c r="C133" s="56"/>
      <c r="D133" s="56"/>
      <c r="E133" s="56">
        <f t="shared" si="1"/>
        <v>0</v>
      </c>
      <c r="F133" s="77"/>
      <c r="G133" s="76"/>
      <c r="H133" s="54"/>
    </row>
    <row r="134" spans="1:8">
      <c r="A134" s="74"/>
      <c r="B134" s="54"/>
      <c r="C134" s="56"/>
      <c r="D134" s="56"/>
      <c r="E134" s="56">
        <f t="shared" si="1"/>
        <v>0</v>
      </c>
      <c r="F134" s="77"/>
      <c r="G134" s="76"/>
      <c r="H134" s="54"/>
    </row>
    <row r="135" spans="1:8">
      <c r="A135" s="74"/>
      <c r="B135" s="54"/>
      <c r="C135" s="56"/>
      <c r="D135" s="56"/>
      <c r="E135" s="56">
        <f t="shared" si="1"/>
        <v>0</v>
      </c>
      <c r="F135" s="77"/>
      <c r="G135" s="76"/>
      <c r="H135" s="54"/>
    </row>
    <row r="136" spans="1:8">
      <c r="A136" s="74"/>
      <c r="B136" s="54"/>
      <c r="C136" s="56"/>
      <c r="D136" s="56"/>
      <c r="E136" s="56">
        <f t="shared" ref="E136:E163" si="2">E135-C136+D136</f>
        <v>0</v>
      </c>
      <c r="F136" s="77"/>
      <c r="G136" s="76"/>
      <c r="H136" s="54"/>
    </row>
    <row r="137" spans="1:8">
      <c r="A137" s="74"/>
      <c r="B137" s="54"/>
      <c r="C137" s="56"/>
      <c r="D137" s="56"/>
      <c r="E137" s="56">
        <f t="shared" si="2"/>
        <v>0</v>
      </c>
      <c r="F137" s="77"/>
      <c r="G137" s="76"/>
      <c r="H137" s="82"/>
    </row>
    <row r="138" spans="1:8">
      <c r="A138" s="74"/>
      <c r="B138" s="54"/>
      <c r="C138" s="56"/>
      <c r="D138" s="56"/>
      <c r="E138" s="56">
        <f t="shared" si="2"/>
        <v>0</v>
      </c>
      <c r="F138" s="77"/>
      <c r="G138" s="76"/>
      <c r="H138" s="54"/>
    </row>
    <row r="139" spans="1:8">
      <c r="A139" s="74"/>
      <c r="B139" s="54"/>
      <c r="C139" s="56"/>
      <c r="D139" s="56"/>
      <c r="E139" s="56">
        <f t="shared" si="2"/>
        <v>0</v>
      </c>
      <c r="F139" s="77"/>
      <c r="G139" s="76"/>
      <c r="H139" s="54"/>
    </row>
    <row r="140" spans="1:8">
      <c r="A140" s="74"/>
      <c r="B140" s="54"/>
      <c r="C140" s="56"/>
      <c r="D140" s="56"/>
      <c r="E140" s="56">
        <f t="shared" si="2"/>
        <v>0</v>
      </c>
      <c r="F140" s="77"/>
      <c r="G140" s="76"/>
      <c r="H140" s="54"/>
    </row>
    <row r="141" spans="1:8">
      <c r="A141" s="74"/>
      <c r="B141" s="54"/>
      <c r="C141" s="56"/>
      <c r="D141" s="56"/>
      <c r="E141" s="56">
        <f t="shared" si="2"/>
        <v>0</v>
      </c>
      <c r="F141" s="77"/>
      <c r="G141" s="76"/>
      <c r="H141" s="54"/>
    </row>
    <row r="142" spans="1:8">
      <c r="A142" s="74"/>
      <c r="B142" s="54"/>
      <c r="C142" s="56"/>
      <c r="D142" s="56"/>
      <c r="E142" s="56">
        <f t="shared" si="2"/>
        <v>0</v>
      </c>
      <c r="F142" s="77"/>
      <c r="G142" s="76"/>
      <c r="H142" s="54"/>
    </row>
    <row r="143" spans="1:8">
      <c r="A143" s="74"/>
      <c r="B143" s="54"/>
      <c r="C143" s="56"/>
      <c r="D143" s="56"/>
      <c r="E143" s="56">
        <f t="shared" si="2"/>
        <v>0</v>
      </c>
      <c r="F143" s="77"/>
      <c r="G143" s="76"/>
      <c r="H143" s="54"/>
    </row>
    <row r="144" spans="1:8">
      <c r="A144" s="74"/>
      <c r="B144" s="54"/>
      <c r="C144" s="56"/>
      <c r="D144" s="56"/>
      <c r="E144" s="56">
        <f t="shared" si="2"/>
        <v>0</v>
      </c>
      <c r="F144" s="77"/>
      <c r="G144" s="76"/>
      <c r="H144" s="54"/>
    </row>
    <row r="145" spans="1:8">
      <c r="A145" s="74"/>
      <c r="B145" s="54"/>
      <c r="C145" s="56"/>
      <c r="D145" s="56"/>
      <c r="E145" s="56">
        <f t="shared" si="2"/>
        <v>0</v>
      </c>
      <c r="F145" s="77"/>
      <c r="G145" s="76"/>
      <c r="H145" s="54"/>
    </row>
    <row r="146" spans="1:8">
      <c r="A146" s="74"/>
      <c r="B146" s="54"/>
      <c r="C146" s="56"/>
      <c r="D146" s="56"/>
      <c r="E146" s="56">
        <f t="shared" si="2"/>
        <v>0</v>
      </c>
      <c r="F146" s="77"/>
      <c r="G146" s="76"/>
      <c r="H146" s="54"/>
    </row>
    <row r="147" spans="1:8">
      <c r="A147" s="74"/>
      <c r="B147" s="54"/>
      <c r="C147" s="56"/>
      <c r="D147" s="56"/>
      <c r="E147" s="56">
        <f t="shared" si="2"/>
        <v>0</v>
      </c>
      <c r="F147" s="77"/>
      <c r="G147" s="76"/>
      <c r="H147" s="54"/>
    </row>
    <row r="148" spans="1:8">
      <c r="A148" s="74"/>
      <c r="B148" s="54"/>
      <c r="C148" s="56"/>
      <c r="D148" s="56"/>
      <c r="E148" s="56">
        <f t="shared" si="2"/>
        <v>0</v>
      </c>
      <c r="F148" s="77"/>
      <c r="G148" s="76"/>
      <c r="H148" s="54"/>
    </row>
    <row r="149" spans="1:8">
      <c r="A149" s="74"/>
      <c r="B149" s="54"/>
      <c r="C149" s="56"/>
      <c r="D149" s="56"/>
      <c r="E149" s="56">
        <f t="shared" si="2"/>
        <v>0</v>
      </c>
      <c r="F149" s="77"/>
      <c r="G149" s="76"/>
      <c r="H149" s="54"/>
    </row>
    <row r="150" spans="1:8" s="71" customFormat="1">
      <c r="A150" s="74"/>
      <c r="B150" s="54"/>
      <c r="C150" s="56"/>
      <c r="D150" s="56"/>
      <c r="E150" s="56">
        <f t="shared" si="2"/>
        <v>0</v>
      </c>
      <c r="F150" s="77"/>
      <c r="G150" s="76"/>
      <c r="H150" s="54"/>
    </row>
    <row r="151" spans="1:8">
      <c r="A151" s="74"/>
      <c r="B151" s="54"/>
      <c r="C151" s="56"/>
      <c r="D151" s="56"/>
      <c r="E151" s="56">
        <f t="shared" si="2"/>
        <v>0</v>
      </c>
      <c r="F151" s="78"/>
      <c r="G151" s="76"/>
      <c r="H151" s="54"/>
    </row>
    <row r="152" spans="1:8">
      <c r="A152" s="74"/>
      <c r="B152" s="54"/>
      <c r="C152" s="56"/>
      <c r="D152" s="56"/>
      <c r="E152" s="56">
        <f t="shared" si="2"/>
        <v>0</v>
      </c>
      <c r="F152" s="77"/>
      <c r="G152" s="54"/>
      <c r="H152" s="54"/>
    </row>
    <row r="153" spans="1:8">
      <c r="A153" s="74"/>
      <c r="B153" s="54"/>
      <c r="C153" s="56"/>
      <c r="D153" s="56"/>
      <c r="E153" s="56">
        <f t="shared" si="2"/>
        <v>0</v>
      </c>
      <c r="F153" s="77"/>
      <c r="G153" s="76"/>
      <c r="H153" s="54"/>
    </row>
    <row r="154" spans="1:8">
      <c r="A154" s="74"/>
      <c r="B154" s="54"/>
      <c r="C154" s="56"/>
      <c r="D154" s="56"/>
      <c r="E154" s="56">
        <f t="shared" si="2"/>
        <v>0</v>
      </c>
      <c r="F154" s="77"/>
      <c r="G154" s="76"/>
      <c r="H154" s="54"/>
    </row>
    <row r="155" spans="1:8">
      <c r="A155" s="74"/>
      <c r="B155" s="54"/>
      <c r="C155" s="56"/>
      <c r="D155" s="56"/>
      <c r="E155" s="56">
        <f t="shared" si="2"/>
        <v>0</v>
      </c>
      <c r="F155" s="77"/>
      <c r="G155" s="76"/>
      <c r="H155" s="54"/>
    </row>
    <row r="156" spans="1:8">
      <c r="A156" s="74"/>
      <c r="B156" s="54"/>
      <c r="C156" s="56"/>
      <c r="D156" s="56"/>
      <c r="E156" s="56">
        <f t="shared" si="2"/>
        <v>0</v>
      </c>
      <c r="F156" s="77"/>
      <c r="G156" s="76"/>
      <c r="H156" s="54"/>
    </row>
    <row r="157" spans="1:8">
      <c r="A157" s="74"/>
      <c r="B157" s="54"/>
      <c r="C157" s="56"/>
      <c r="D157" s="56"/>
      <c r="E157" s="56">
        <f t="shared" si="2"/>
        <v>0</v>
      </c>
      <c r="F157" s="77"/>
      <c r="G157" s="76"/>
      <c r="H157" s="54"/>
    </row>
    <row r="158" spans="1:8">
      <c r="A158" s="74"/>
      <c r="B158" s="54"/>
      <c r="C158" s="56"/>
      <c r="D158" s="56"/>
      <c r="E158" s="56">
        <f t="shared" si="2"/>
        <v>0</v>
      </c>
      <c r="F158" s="77"/>
      <c r="G158" s="76"/>
      <c r="H158" s="54"/>
    </row>
    <row r="159" spans="1:8">
      <c r="A159" s="74"/>
      <c r="B159" s="54"/>
      <c r="C159" s="56"/>
      <c r="D159" s="56"/>
      <c r="E159" s="56">
        <f t="shared" si="2"/>
        <v>0</v>
      </c>
      <c r="F159" s="77"/>
      <c r="G159" s="76"/>
      <c r="H159" s="54"/>
    </row>
    <row r="160" spans="1:8">
      <c r="A160" s="74"/>
      <c r="B160" s="54"/>
      <c r="C160" s="56"/>
      <c r="D160" s="56"/>
      <c r="E160" s="56">
        <f t="shared" si="2"/>
        <v>0</v>
      </c>
      <c r="F160" s="77"/>
      <c r="G160" s="76"/>
      <c r="H160" s="54"/>
    </row>
    <row r="161" spans="1:8">
      <c r="A161" s="74"/>
      <c r="B161" s="54"/>
      <c r="C161" s="56"/>
      <c r="D161" s="56"/>
      <c r="E161" s="56">
        <f t="shared" si="2"/>
        <v>0</v>
      </c>
      <c r="F161" s="77"/>
      <c r="G161" s="76"/>
      <c r="H161" s="54"/>
    </row>
    <row r="162" spans="1:8">
      <c r="A162" s="74"/>
      <c r="B162" s="54"/>
      <c r="C162" s="56"/>
      <c r="D162" s="56"/>
      <c r="E162" s="56">
        <f t="shared" si="2"/>
        <v>0</v>
      </c>
      <c r="F162" s="77"/>
      <c r="G162" s="76"/>
      <c r="H162" s="54"/>
    </row>
    <row r="163" spans="1:8">
      <c r="A163" s="74"/>
      <c r="B163" s="54"/>
      <c r="C163" s="56"/>
      <c r="D163" s="56"/>
      <c r="E163" s="56">
        <f t="shared" si="2"/>
        <v>0</v>
      </c>
      <c r="F163" s="77"/>
      <c r="G163" s="76"/>
      <c r="H163" s="54"/>
    </row>
    <row r="164" spans="1:8">
      <c r="C164" s="70">
        <f>SUM(C7:C163)</f>
        <v>0</v>
      </c>
      <c r="D164" s="70">
        <f>SUM(D7:D163)</f>
        <v>0</v>
      </c>
      <c r="F164" s="67"/>
    </row>
    <row r="168" spans="1:8">
      <c r="H168" t="s">
        <v>435</v>
      </c>
    </row>
  </sheetData>
  <autoFilter ref="A5:H5" xr:uid="{163EE640-5476-4526-A73E-2E8E04840C34}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C9C1-5F1E-4A09-B232-105A2B9D8EE0}">
  <dimension ref="A1:H168"/>
  <sheetViews>
    <sheetView zoomScale="175" zoomScaleNormal="175" workbookViewId="0">
      <selection activeCell="A3" sqref="A3"/>
    </sheetView>
  </sheetViews>
  <sheetFormatPr baseColWidth="10" defaultColWidth="11.42578125" defaultRowHeight="15"/>
  <cols>
    <col min="2" max="2" width="22.28515625" customWidth="1"/>
    <col min="3" max="3" width="12.85546875" customWidth="1"/>
    <col min="4" max="4" width="12.7109375" customWidth="1"/>
    <col min="5" max="5" width="12.28515625" customWidth="1"/>
    <col min="6" max="6" width="10.140625" style="68" customWidth="1"/>
    <col min="7" max="7" width="65.42578125" customWidth="1"/>
    <col min="8" max="8" width="59.28515625" customWidth="1"/>
  </cols>
  <sheetData>
    <row r="1" spans="1:8">
      <c r="A1" s="15"/>
      <c r="B1" s="15"/>
      <c r="C1" s="32"/>
      <c r="D1" s="32"/>
      <c r="E1" s="28" t="s">
        <v>0</v>
      </c>
      <c r="F1" s="65"/>
      <c r="G1" s="29"/>
      <c r="H1" s="29"/>
    </row>
    <row r="2" spans="1:8">
      <c r="A2" s="30" t="s">
        <v>552</v>
      </c>
      <c r="B2" s="15"/>
      <c r="C2" s="32"/>
      <c r="D2" s="32"/>
      <c r="E2" s="28" t="s">
        <v>2</v>
      </c>
      <c r="F2" s="65"/>
      <c r="G2" s="29"/>
      <c r="H2" s="29"/>
    </row>
    <row r="3" spans="1:8">
      <c r="A3" s="30" t="s">
        <v>553</v>
      </c>
      <c r="B3" s="15"/>
      <c r="C3" s="32"/>
      <c r="D3" s="32"/>
      <c r="E3" s="28" t="s">
        <v>4</v>
      </c>
      <c r="F3" s="65"/>
      <c r="G3" s="29"/>
      <c r="H3" s="29"/>
    </row>
    <row r="4" spans="1:8">
      <c r="A4" s="29"/>
      <c r="B4" s="29"/>
      <c r="C4" s="31"/>
      <c r="D4" s="31"/>
      <c r="E4" s="29"/>
      <c r="F4" s="66"/>
      <c r="G4" s="29"/>
      <c r="H4" s="29"/>
    </row>
    <row r="5" spans="1:8">
      <c r="A5" s="7" t="s">
        <v>5</v>
      </c>
      <c r="B5" s="7" t="s">
        <v>6</v>
      </c>
      <c r="C5" s="33" t="s">
        <v>7</v>
      </c>
      <c r="D5" s="33" t="s">
        <v>8</v>
      </c>
      <c r="E5" s="9" t="s">
        <v>9</v>
      </c>
      <c r="F5" s="64" t="s">
        <v>432</v>
      </c>
      <c r="G5" s="63" t="s">
        <v>433</v>
      </c>
      <c r="H5" s="54" t="s">
        <v>434</v>
      </c>
    </row>
    <row r="6" spans="1:8">
      <c r="A6" s="10"/>
      <c r="B6" s="10" t="s">
        <v>11</v>
      </c>
      <c r="C6" s="48"/>
      <c r="D6" s="48">
        <v>0</v>
      </c>
      <c r="E6" s="45"/>
      <c r="F6" s="63"/>
      <c r="G6" s="63"/>
      <c r="H6" s="45"/>
    </row>
    <row r="7" spans="1:8" s="71" customFormat="1">
      <c r="A7" s="74"/>
      <c r="B7" s="54"/>
      <c r="C7" s="56"/>
      <c r="D7" s="56"/>
      <c r="E7" s="56">
        <f>D6-C7+D7</f>
        <v>0</v>
      </c>
      <c r="F7" s="75"/>
      <c r="G7" s="76"/>
      <c r="H7" s="54"/>
    </row>
    <row r="8" spans="1:8">
      <c r="A8" s="74"/>
      <c r="B8" s="54"/>
      <c r="C8" s="56"/>
      <c r="D8" s="56"/>
      <c r="E8" s="56">
        <f t="shared" ref="E8:E71" si="0">E7-C8+D8</f>
        <v>0</v>
      </c>
      <c r="F8" s="75"/>
      <c r="G8" s="76"/>
      <c r="H8" s="54"/>
    </row>
    <row r="9" spans="1:8">
      <c r="A9" s="74"/>
      <c r="B9" s="54"/>
      <c r="C9" s="56"/>
      <c r="D9" s="56"/>
      <c r="E9" s="56">
        <f t="shared" si="0"/>
        <v>0</v>
      </c>
      <c r="F9" s="77"/>
      <c r="G9" s="76"/>
      <c r="H9" s="54"/>
    </row>
    <row r="10" spans="1:8">
      <c r="A10" s="74"/>
      <c r="B10" s="54"/>
      <c r="C10" s="56"/>
      <c r="D10" s="56"/>
      <c r="E10" s="56">
        <f t="shared" si="0"/>
        <v>0</v>
      </c>
      <c r="F10" s="77"/>
      <c r="G10" s="76"/>
      <c r="H10" s="54"/>
    </row>
    <row r="11" spans="1:8">
      <c r="A11" s="74"/>
      <c r="B11" s="54"/>
      <c r="C11" s="56"/>
      <c r="D11" s="56"/>
      <c r="E11" s="56">
        <f t="shared" si="0"/>
        <v>0</v>
      </c>
      <c r="F11" s="77"/>
      <c r="G11" s="76"/>
      <c r="H11" s="54"/>
    </row>
    <row r="12" spans="1:8">
      <c r="A12" s="74"/>
      <c r="B12" s="54"/>
      <c r="C12" s="56"/>
      <c r="D12" s="56"/>
      <c r="E12" s="56">
        <f t="shared" si="0"/>
        <v>0</v>
      </c>
      <c r="F12" s="77"/>
      <c r="G12" s="76"/>
      <c r="H12" s="54"/>
    </row>
    <row r="13" spans="1:8">
      <c r="A13" s="74"/>
      <c r="B13" s="54"/>
      <c r="C13" s="56"/>
      <c r="D13" s="56"/>
      <c r="E13" s="56">
        <f t="shared" si="0"/>
        <v>0</v>
      </c>
      <c r="F13" s="77"/>
      <c r="G13" s="76"/>
      <c r="H13" s="54"/>
    </row>
    <row r="14" spans="1:8">
      <c r="A14" s="74"/>
      <c r="B14" s="54"/>
      <c r="C14" s="56"/>
      <c r="D14" s="56"/>
      <c r="E14" s="56">
        <f t="shared" si="0"/>
        <v>0</v>
      </c>
      <c r="F14" s="75"/>
      <c r="G14" s="76"/>
      <c r="H14" s="54"/>
    </row>
    <row r="15" spans="1:8">
      <c r="A15" s="74"/>
      <c r="B15" s="54"/>
      <c r="C15" s="56"/>
      <c r="D15" s="56"/>
      <c r="E15" s="56">
        <f t="shared" si="0"/>
        <v>0</v>
      </c>
      <c r="F15" s="77"/>
      <c r="G15" s="76"/>
      <c r="H15" s="54"/>
    </row>
    <row r="16" spans="1:8">
      <c r="A16" s="74"/>
      <c r="B16" s="54"/>
      <c r="C16" s="56"/>
      <c r="D16" s="56"/>
      <c r="E16" s="56">
        <f t="shared" si="0"/>
        <v>0</v>
      </c>
      <c r="F16" s="77"/>
      <c r="G16" s="76"/>
      <c r="H16" s="54"/>
    </row>
    <row r="17" spans="1:8">
      <c r="A17" s="74"/>
      <c r="B17" s="54"/>
      <c r="C17" s="56"/>
      <c r="D17" s="56"/>
      <c r="E17" s="56">
        <f t="shared" si="0"/>
        <v>0</v>
      </c>
      <c r="F17" s="77"/>
      <c r="G17" s="76"/>
      <c r="H17" s="54"/>
    </row>
    <row r="18" spans="1:8">
      <c r="A18" s="74"/>
      <c r="B18" s="54"/>
      <c r="C18" s="56"/>
      <c r="D18" s="56"/>
      <c r="E18" s="56">
        <f t="shared" si="0"/>
        <v>0</v>
      </c>
      <c r="F18" s="77"/>
      <c r="G18" s="76"/>
      <c r="H18" s="54"/>
    </row>
    <row r="19" spans="1:8">
      <c r="A19" s="74"/>
      <c r="B19" s="54"/>
      <c r="C19" s="56"/>
      <c r="D19" s="56"/>
      <c r="E19" s="56">
        <f t="shared" si="0"/>
        <v>0</v>
      </c>
      <c r="F19" s="77"/>
      <c r="G19" s="76"/>
      <c r="H19" s="54"/>
    </row>
    <row r="20" spans="1:8">
      <c r="A20" s="74"/>
      <c r="B20" s="54"/>
      <c r="C20" s="56"/>
      <c r="D20" s="56"/>
      <c r="E20" s="56">
        <f t="shared" si="0"/>
        <v>0</v>
      </c>
      <c r="F20" s="77"/>
      <c r="G20" s="76"/>
      <c r="H20" s="54"/>
    </row>
    <row r="21" spans="1:8">
      <c r="A21" s="74"/>
      <c r="B21" s="54"/>
      <c r="C21" s="56"/>
      <c r="D21" s="56"/>
      <c r="E21" s="56">
        <f t="shared" si="0"/>
        <v>0</v>
      </c>
      <c r="F21" s="77"/>
      <c r="G21" s="76"/>
      <c r="H21" s="54"/>
    </row>
    <row r="22" spans="1:8">
      <c r="A22" s="74"/>
      <c r="B22" s="54"/>
      <c r="C22" s="56"/>
      <c r="D22" s="56"/>
      <c r="E22" s="56">
        <f t="shared" si="0"/>
        <v>0</v>
      </c>
      <c r="F22" s="77"/>
      <c r="G22" s="76"/>
      <c r="H22" s="54"/>
    </row>
    <row r="23" spans="1:8">
      <c r="A23" s="74"/>
      <c r="B23" s="54"/>
      <c r="C23" s="56"/>
      <c r="D23" s="56"/>
      <c r="E23" s="56">
        <f t="shared" si="0"/>
        <v>0</v>
      </c>
      <c r="F23" s="77"/>
      <c r="G23" s="76"/>
      <c r="H23" s="54"/>
    </row>
    <row r="24" spans="1:8">
      <c r="A24" s="74"/>
      <c r="B24" s="54"/>
      <c r="C24" s="56"/>
      <c r="D24" s="56"/>
      <c r="E24" s="56">
        <f t="shared" si="0"/>
        <v>0</v>
      </c>
      <c r="F24" s="77"/>
      <c r="G24" s="76"/>
      <c r="H24" s="54"/>
    </row>
    <row r="25" spans="1:8">
      <c r="A25" s="74"/>
      <c r="B25" s="54"/>
      <c r="C25" s="56"/>
      <c r="D25" s="56"/>
      <c r="E25" s="56">
        <f t="shared" si="0"/>
        <v>0</v>
      </c>
      <c r="F25" s="77"/>
      <c r="G25" s="76"/>
      <c r="H25" s="54"/>
    </row>
    <row r="26" spans="1:8">
      <c r="A26" s="74"/>
      <c r="B26" s="54"/>
      <c r="C26" s="56"/>
      <c r="D26" s="56"/>
      <c r="E26" s="56">
        <f t="shared" si="0"/>
        <v>0</v>
      </c>
      <c r="F26" s="77"/>
      <c r="G26" s="76"/>
      <c r="H26" s="54"/>
    </row>
    <row r="27" spans="1:8">
      <c r="A27" s="74"/>
      <c r="B27" s="54"/>
      <c r="C27" s="56"/>
      <c r="D27" s="56"/>
      <c r="E27" s="56">
        <f t="shared" si="0"/>
        <v>0</v>
      </c>
      <c r="F27" s="77"/>
      <c r="G27" s="76"/>
      <c r="H27" s="54"/>
    </row>
    <row r="28" spans="1:8">
      <c r="A28" s="74"/>
      <c r="B28" s="54"/>
      <c r="C28" s="56"/>
      <c r="D28" s="56"/>
      <c r="E28" s="56">
        <f t="shared" si="0"/>
        <v>0</v>
      </c>
      <c r="F28" s="77"/>
      <c r="G28" s="76"/>
      <c r="H28" s="54"/>
    </row>
    <row r="29" spans="1:8">
      <c r="A29" s="74"/>
      <c r="B29" s="54"/>
      <c r="C29" s="56"/>
      <c r="D29" s="56"/>
      <c r="E29" s="56">
        <f t="shared" si="0"/>
        <v>0</v>
      </c>
      <c r="F29" s="78"/>
      <c r="G29" s="54"/>
      <c r="H29" s="54"/>
    </row>
    <row r="30" spans="1:8">
      <c r="A30" s="74"/>
      <c r="B30" s="54"/>
      <c r="C30" s="56"/>
      <c r="D30" s="56"/>
      <c r="E30" s="56">
        <f t="shared" si="0"/>
        <v>0</v>
      </c>
      <c r="F30" s="77"/>
      <c r="G30" s="76"/>
      <c r="H30" s="54"/>
    </row>
    <row r="31" spans="1:8">
      <c r="A31" s="74"/>
      <c r="B31" s="54"/>
      <c r="C31" s="56"/>
      <c r="D31" s="56"/>
      <c r="E31" s="56">
        <f t="shared" si="0"/>
        <v>0</v>
      </c>
      <c r="F31" s="78"/>
      <c r="G31" s="54"/>
      <c r="H31" s="54"/>
    </row>
    <row r="32" spans="1:8">
      <c r="A32" s="74"/>
      <c r="B32" s="54"/>
      <c r="C32" s="56"/>
      <c r="D32" s="56"/>
      <c r="E32" s="56">
        <f t="shared" si="0"/>
        <v>0</v>
      </c>
      <c r="F32" s="78"/>
      <c r="G32" s="79"/>
      <c r="H32" s="54"/>
    </row>
    <row r="33" spans="1:8">
      <c r="A33" s="74"/>
      <c r="B33" s="54"/>
      <c r="C33" s="56"/>
      <c r="D33" s="56"/>
      <c r="E33" s="56">
        <f t="shared" si="0"/>
        <v>0</v>
      </c>
      <c r="F33" s="78"/>
      <c r="G33" s="79"/>
      <c r="H33" s="54"/>
    </row>
    <row r="34" spans="1:8">
      <c r="A34" s="74"/>
      <c r="B34" s="54"/>
      <c r="C34" s="56"/>
      <c r="D34" s="56"/>
      <c r="E34" s="56">
        <f t="shared" si="0"/>
        <v>0</v>
      </c>
      <c r="F34" s="78"/>
      <c r="G34" s="54"/>
      <c r="H34" s="54"/>
    </row>
    <row r="35" spans="1:8">
      <c r="A35" s="74"/>
      <c r="B35" s="54"/>
      <c r="C35" s="56"/>
      <c r="D35" s="56"/>
      <c r="E35" s="56">
        <f t="shared" si="0"/>
        <v>0</v>
      </c>
      <c r="F35" s="77"/>
      <c r="G35" s="76"/>
      <c r="H35" s="54"/>
    </row>
    <row r="36" spans="1:8">
      <c r="A36" s="74"/>
      <c r="B36" s="54"/>
      <c r="C36" s="56"/>
      <c r="D36" s="56"/>
      <c r="E36" s="56">
        <f t="shared" si="0"/>
        <v>0</v>
      </c>
      <c r="F36" s="77"/>
      <c r="G36" s="76"/>
      <c r="H36" s="54"/>
    </row>
    <row r="37" spans="1:8">
      <c r="A37" s="74"/>
      <c r="B37" s="54"/>
      <c r="C37" s="56"/>
      <c r="D37" s="56"/>
      <c r="E37" s="56">
        <f t="shared" si="0"/>
        <v>0</v>
      </c>
      <c r="F37" s="77"/>
      <c r="G37" s="76"/>
      <c r="H37" s="54"/>
    </row>
    <row r="38" spans="1:8">
      <c r="A38" s="74"/>
      <c r="B38" s="54"/>
      <c r="C38" s="56"/>
      <c r="D38" s="56"/>
      <c r="E38" s="56">
        <f t="shared" si="0"/>
        <v>0</v>
      </c>
      <c r="F38" s="78"/>
      <c r="G38" s="54"/>
      <c r="H38" s="54"/>
    </row>
    <row r="39" spans="1:8">
      <c r="A39" s="74"/>
      <c r="B39" s="54"/>
      <c r="C39" s="56"/>
      <c r="D39" s="56"/>
      <c r="E39" s="56">
        <f t="shared" si="0"/>
        <v>0</v>
      </c>
      <c r="F39" s="78"/>
      <c r="G39" s="80"/>
      <c r="H39" s="54"/>
    </row>
    <row r="40" spans="1:8">
      <c r="A40" s="74"/>
      <c r="B40" s="54"/>
      <c r="C40" s="56"/>
      <c r="D40" s="56"/>
      <c r="E40" s="56">
        <f t="shared" si="0"/>
        <v>0</v>
      </c>
      <c r="F40" s="77"/>
      <c r="G40" s="76"/>
      <c r="H40" s="54"/>
    </row>
    <row r="41" spans="1:8">
      <c r="A41" s="74"/>
      <c r="B41" s="54"/>
      <c r="C41" s="56"/>
      <c r="D41" s="56"/>
      <c r="E41" s="56">
        <f t="shared" si="0"/>
        <v>0</v>
      </c>
      <c r="F41" s="77"/>
      <c r="G41" s="76"/>
      <c r="H41" s="54"/>
    </row>
    <row r="42" spans="1:8">
      <c r="A42" s="74"/>
      <c r="B42" s="54"/>
      <c r="C42" s="56"/>
      <c r="D42" s="56"/>
      <c r="E42" s="56">
        <f t="shared" si="0"/>
        <v>0</v>
      </c>
      <c r="F42" s="77"/>
      <c r="G42" s="76"/>
      <c r="H42" s="54"/>
    </row>
    <row r="43" spans="1:8">
      <c r="A43" s="74"/>
      <c r="B43" s="54"/>
      <c r="C43" s="56"/>
      <c r="D43" s="56"/>
      <c r="E43" s="56">
        <f t="shared" si="0"/>
        <v>0</v>
      </c>
      <c r="F43" s="77"/>
      <c r="G43" s="76"/>
      <c r="H43" s="54"/>
    </row>
    <row r="44" spans="1:8">
      <c r="A44" s="74"/>
      <c r="B44" s="54"/>
      <c r="C44" s="56"/>
      <c r="D44" s="56"/>
      <c r="E44" s="56">
        <f t="shared" si="0"/>
        <v>0</v>
      </c>
      <c r="F44" s="77"/>
      <c r="G44" s="76"/>
      <c r="H44" s="54"/>
    </row>
    <row r="45" spans="1:8">
      <c r="A45" s="74"/>
      <c r="B45" s="54"/>
      <c r="C45" s="56"/>
      <c r="D45" s="56"/>
      <c r="E45" s="56">
        <f t="shared" si="0"/>
        <v>0</v>
      </c>
      <c r="F45" s="77"/>
      <c r="G45" s="76"/>
      <c r="H45" s="54"/>
    </row>
    <row r="46" spans="1:8">
      <c r="A46" s="74"/>
      <c r="B46" s="54"/>
      <c r="C46" s="56"/>
      <c r="D46" s="56"/>
      <c r="E46" s="56">
        <f t="shared" si="0"/>
        <v>0</v>
      </c>
      <c r="F46" s="77"/>
      <c r="G46" s="76"/>
      <c r="H46" s="54"/>
    </row>
    <row r="47" spans="1:8">
      <c r="A47" s="74"/>
      <c r="B47" s="54"/>
      <c r="C47" s="56"/>
      <c r="D47" s="56"/>
      <c r="E47" s="56">
        <f t="shared" si="0"/>
        <v>0</v>
      </c>
      <c r="F47" s="77"/>
      <c r="G47" s="76"/>
      <c r="H47" s="54"/>
    </row>
    <row r="48" spans="1:8">
      <c r="A48" s="74"/>
      <c r="B48" s="54"/>
      <c r="C48" s="56"/>
      <c r="D48" s="56"/>
      <c r="E48" s="56">
        <f t="shared" si="0"/>
        <v>0</v>
      </c>
      <c r="F48" s="77"/>
      <c r="G48" s="76"/>
      <c r="H48" s="54"/>
    </row>
    <row r="49" spans="1:8">
      <c r="A49" s="74"/>
      <c r="B49" s="54"/>
      <c r="C49" s="56"/>
      <c r="D49" s="56"/>
      <c r="E49" s="56">
        <f t="shared" si="0"/>
        <v>0</v>
      </c>
      <c r="F49" s="78"/>
      <c r="G49" s="54"/>
      <c r="H49" s="54"/>
    </row>
    <row r="50" spans="1:8">
      <c r="A50" s="74"/>
      <c r="B50" s="54"/>
      <c r="C50" s="56"/>
      <c r="D50" s="56"/>
      <c r="E50" s="56">
        <f t="shared" si="0"/>
        <v>0</v>
      </c>
      <c r="F50" s="77"/>
      <c r="G50" s="76"/>
      <c r="H50" s="54"/>
    </row>
    <row r="51" spans="1:8">
      <c r="A51" s="74"/>
      <c r="B51" s="54"/>
      <c r="C51" s="56"/>
      <c r="D51" s="56"/>
      <c r="E51" s="56">
        <f t="shared" si="0"/>
        <v>0</v>
      </c>
      <c r="F51" s="77"/>
      <c r="G51" s="76"/>
      <c r="H51" s="54"/>
    </row>
    <row r="52" spans="1:8">
      <c r="A52" s="74"/>
      <c r="B52" s="54"/>
      <c r="C52" s="56"/>
      <c r="D52" s="56"/>
      <c r="E52" s="56">
        <f t="shared" si="0"/>
        <v>0</v>
      </c>
      <c r="F52" s="77"/>
      <c r="G52" s="76"/>
      <c r="H52" s="54"/>
    </row>
    <row r="53" spans="1:8">
      <c r="A53" s="74"/>
      <c r="B53" s="54"/>
      <c r="C53" s="56"/>
      <c r="D53" s="56"/>
      <c r="E53" s="56">
        <f t="shared" si="0"/>
        <v>0</v>
      </c>
      <c r="F53" s="77"/>
      <c r="G53" s="76"/>
      <c r="H53" s="54"/>
    </row>
    <row r="54" spans="1:8">
      <c r="A54" s="74"/>
      <c r="B54" s="54"/>
      <c r="C54" s="56"/>
      <c r="D54" s="56"/>
      <c r="E54" s="56">
        <f t="shared" si="0"/>
        <v>0</v>
      </c>
      <c r="F54" s="77"/>
      <c r="G54" s="76"/>
      <c r="H54" s="54"/>
    </row>
    <row r="55" spans="1:8">
      <c r="A55" s="74"/>
      <c r="B55" s="54"/>
      <c r="C55" s="56"/>
      <c r="D55" s="56"/>
      <c r="E55" s="56">
        <f t="shared" si="0"/>
        <v>0</v>
      </c>
      <c r="F55" s="77"/>
      <c r="G55" s="76"/>
      <c r="H55" s="54"/>
    </row>
    <row r="56" spans="1:8">
      <c r="A56" s="74"/>
      <c r="B56" s="54"/>
      <c r="C56" s="56"/>
      <c r="D56" s="56"/>
      <c r="E56" s="56">
        <f t="shared" si="0"/>
        <v>0</v>
      </c>
      <c r="F56" s="77"/>
      <c r="G56" s="76"/>
      <c r="H56" s="54"/>
    </row>
    <row r="57" spans="1:8">
      <c r="A57" s="74"/>
      <c r="B57" s="54"/>
      <c r="C57" s="56"/>
      <c r="D57" s="56"/>
      <c r="E57" s="56">
        <f t="shared" si="0"/>
        <v>0</v>
      </c>
      <c r="F57" s="77"/>
      <c r="G57" s="76"/>
      <c r="H57" s="54"/>
    </row>
    <row r="58" spans="1:8">
      <c r="A58" s="73"/>
      <c r="B58" s="54"/>
      <c r="C58" s="56"/>
      <c r="D58" s="56"/>
      <c r="E58" s="56">
        <f t="shared" si="0"/>
        <v>0</v>
      </c>
      <c r="F58" s="77"/>
      <c r="G58" s="76"/>
      <c r="H58" s="54"/>
    </row>
    <row r="59" spans="1:8">
      <c r="A59" s="73"/>
      <c r="B59" s="54"/>
      <c r="C59" s="56"/>
      <c r="D59" s="56"/>
      <c r="E59" s="56">
        <f t="shared" si="0"/>
        <v>0</v>
      </c>
      <c r="F59" s="77"/>
      <c r="G59" s="76"/>
      <c r="H59" s="54"/>
    </row>
    <row r="60" spans="1:8" s="71" customFormat="1">
      <c r="A60" s="73"/>
      <c r="B60" s="54"/>
      <c r="C60" s="56"/>
      <c r="D60" s="56"/>
      <c r="E60" s="56">
        <f t="shared" si="0"/>
        <v>0</v>
      </c>
      <c r="F60" s="77"/>
      <c r="G60" s="76"/>
      <c r="H60" s="54"/>
    </row>
    <row r="61" spans="1:8" s="71" customFormat="1">
      <c r="A61" s="73"/>
      <c r="B61" s="54"/>
      <c r="C61" s="56"/>
      <c r="D61" s="56"/>
      <c r="E61" s="56">
        <f t="shared" si="0"/>
        <v>0</v>
      </c>
      <c r="F61" s="77"/>
      <c r="G61" s="76"/>
      <c r="H61" s="54"/>
    </row>
    <row r="62" spans="1:8" s="71" customFormat="1">
      <c r="A62" s="73"/>
      <c r="B62" s="54"/>
      <c r="C62" s="56"/>
      <c r="D62" s="56"/>
      <c r="E62" s="56">
        <f t="shared" si="0"/>
        <v>0</v>
      </c>
      <c r="F62" s="77"/>
      <c r="G62" s="76"/>
      <c r="H62" s="54"/>
    </row>
    <row r="63" spans="1:8" s="71" customFormat="1">
      <c r="A63" s="73"/>
      <c r="B63" s="54"/>
      <c r="C63" s="56"/>
      <c r="D63" s="56"/>
      <c r="E63" s="56">
        <f t="shared" si="0"/>
        <v>0</v>
      </c>
      <c r="F63" s="77"/>
      <c r="G63" s="76"/>
      <c r="H63" s="54"/>
    </row>
    <row r="64" spans="1:8" s="71" customFormat="1">
      <c r="A64" s="73"/>
      <c r="B64" s="54"/>
      <c r="C64" s="56"/>
      <c r="D64" s="56"/>
      <c r="E64" s="56">
        <f t="shared" si="0"/>
        <v>0</v>
      </c>
      <c r="F64" s="77"/>
      <c r="G64" s="76"/>
      <c r="H64" s="54"/>
    </row>
    <row r="65" spans="1:8" s="71" customFormat="1">
      <c r="A65" s="73"/>
      <c r="B65" s="54"/>
      <c r="C65" s="56"/>
      <c r="D65" s="56"/>
      <c r="E65" s="56">
        <f t="shared" si="0"/>
        <v>0</v>
      </c>
      <c r="F65" s="77"/>
      <c r="G65" s="76"/>
      <c r="H65" s="54"/>
    </row>
    <row r="66" spans="1:8" s="71" customFormat="1">
      <c r="A66" s="73"/>
      <c r="B66" s="54"/>
      <c r="C66" s="56"/>
      <c r="D66" s="56"/>
      <c r="E66" s="56">
        <f t="shared" si="0"/>
        <v>0</v>
      </c>
      <c r="F66" s="77"/>
      <c r="G66" s="76"/>
      <c r="H66" s="54"/>
    </row>
    <row r="67" spans="1:8" s="71" customFormat="1">
      <c r="A67" s="73"/>
      <c r="B67" s="54"/>
      <c r="C67" s="56"/>
      <c r="D67" s="56"/>
      <c r="E67" s="56">
        <f t="shared" si="0"/>
        <v>0</v>
      </c>
      <c r="F67" s="77"/>
      <c r="G67" s="76"/>
      <c r="H67" s="54"/>
    </row>
    <row r="68" spans="1:8" s="71" customFormat="1">
      <c r="A68" s="73"/>
      <c r="B68" s="54"/>
      <c r="C68" s="56"/>
      <c r="D68" s="56"/>
      <c r="E68" s="56">
        <f t="shared" si="0"/>
        <v>0</v>
      </c>
      <c r="F68" s="77"/>
      <c r="G68" s="76"/>
      <c r="H68" s="54"/>
    </row>
    <row r="69" spans="1:8" s="71" customFormat="1">
      <c r="A69" s="73"/>
      <c r="B69" s="54"/>
      <c r="C69" s="56"/>
      <c r="D69" s="56"/>
      <c r="E69" s="56">
        <f t="shared" si="0"/>
        <v>0</v>
      </c>
      <c r="F69" s="77"/>
      <c r="G69" s="76"/>
      <c r="H69" s="54"/>
    </row>
    <row r="70" spans="1:8">
      <c r="A70" s="73"/>
      <c r="B70" s="54"/>
      <c r="C70" s="56"/>
      <c r="D70" s="56"/>
      <c r="E70" s="56">
        <f t="shared" si="0"/>
        <v>0</v>
      </c>
      <c r="F70" s="75"/>
      <c r="G70" s="76"/>
      <c r="H70" s="54"/>
    </row>
    <row r="71" spans="1:8">
      <c r="A71" s="74"/>
      <c r="B71" s="54"/>
      <c r="C71" s="56"/>
      <c r="D71" s="56"/>
      <c r="E71" s="56">
        <f t="shared" si="0"/>
        <v>0</v>
      </c>
      <c r="F71" s="77"/>
      <c r="G71" s="76"/>
      <c r="H71" s="54"/>
    </row>
    <row r="72" spans="1:8">
      <c r="A72" s="74"/>
      <c r="B72" s="54"/>
      <c r="C72" s="56"/>
      <c r="D72" s="56"/>
      <c r="E72" s="56">
        <f t="shared" ref="E72:E135" si="1">E71-C72+D72</f>
        <v>0</v>
      </c>
      <c r="F72" s="77"/>
      <c r="G72" s="76"/>
      <c r="H72" s="54"/>
    </row>
    <row r="73" spans="1:8" s="72" customFormat="1">
      <c r="A73" s="74"/>
      <c r="B73" s="54"/>
      <c r="C73" s="56"/>
      <c r="D73" s="56"/>
      <c r="E73" s="56">
        <f t="shared" si="1"/>
        <v>0</v>
      </c>
      <c r="F73" s="77"/>
      <c r="G73" s="76"/>
      <c r="H73" s="54"/>
    </row>
    <row r="74" spans="1:8">
      <c r="A74" s="74"/>
      <c r="B74" s="54"/>
      <c r="C74" s="56"/>
      <c r="D74" s="56"/>
      <c r="E74" s="56">
        <f t="shared" si="1"/>
        <v>0</v>
      </c>
      <c r="F74" s="77"/>
      <c r="G74" s="76"/>
      <c r="H74" s="54"/>
    </row>
    <row r="75" spans="1:8">
      <c r="A75" s="74"/>
      <c r="B75" s="54"/>
      <c r="C75" s="56"/>
      <c r="D75" s="56"/>
      <c r="E75" s="56">
        <f t="shared" si="1"/>
        <v>0</v>
      </c>
      <c r="F75" s="77"/>
      <c r="G75" s="76"/>
      <c r="H75" s="54"/>
    </row>
    <row r="76" spans="1:8">
      <c r="A76" s="74"/>
      <c r="B76" s="54"/>
      <c r="C76" s="56"/>
      <c r="D76" s="56"/>
      <c r="E76" s="56">
        <f t="shared" si="1"/>
        <v>0</v>
      </c>
      <c r="F76" s="77"/>
      <c r="G76" s="76"/>
      <c r="H76" s="54"/>
    </row>
    <row r="77" spans="1:8">
      <c r="A77" s="74"/>
      <c r="B77" s="54"/>
      <c r="C77" s="56"/>
      <c r="D77" s="56"/>
      <c r="E77" s="56">
        <f t="shared" si="1"/>
        <v>0</v>
      </c>
      <c r="F77" s="77"/>
      <c r="G77" s="76"/>
      <c r="H77" s="54"/>
    </row>
    <row r="78" spans="1:8">
      <c r="A78" s="74"/>
      <c r="B78" s="54"/>
      <c r="C78" s="56"/>
      <c r="D78" s="56"/>
      <c r="E78" s="56">
        <f t="shared" si="1"/>
        <v>0</v>
      </c>
      <c r="F78" s="77"/>
      <c r="G78" s="76"/>
      <c r="H78" s="54"/>
    </row>
    <row r="79" spans="1:8">
      <c r="A79" s="74"/>
      <c r="B79" s="54"/>
      <c r="C79" s="56"/>
      <c r="D79" s="56"/>
      <c r="E79" s="56">
        <f t="shared" si="1"/>
        <v>0</v>
      </c>
      <c r="F79" s="77"/>
      <c r="G79" s="76"/>
      <c r="H79" s="54"/>
    </row>
    <row r="80" spans="1:8">
      <c r="A80" s="74"/>
      <c r="B80" s="54"/>
      <c r="C80" s="56"/>
      <c r="D80" s="56"/>
      <c r="E80" s="56">
        <f t="shared" si="1"/>
        <v>0</v>
      </c>
      <c r="F80" s="77"/>
      <c r="G80" s="76"/>
      <c r="H80" s="54"/>
    </row>
    <row r="81" spans="1:8">
      <c r="A81" s="74"/>
      <c r="B81" s="54"/>
      <c r="C81" s="56"/>
      <c r="D81" s="56"/>
      <c r="E81" s="56">
        <f t="shared" si="1"/>
        <v>0</v>
      </c>
      <c r="F81" s="77"/>
      <c r="G81" s="76"/>
      <c r="H81" s="54"/>
    </row>
    <row r="82" spans="1:8">
      <c r="A82" s="74"/>
      <c r="B82" s="54"/>
      <c r="C82" s="56"/>
      <c r="D82" s="56"/>
      <c r="E82" s="56">
        <f t="shared" si="1"/>
        <v>0</v>
      </c>
      <c r="F82" s="77"/>
      <c r="G82" s="76"/>
      <c r="H82" s="54"/>
    </row>
    <row r="83" spans="1:8">
      <c r="A83" s="74"/>
      <c r="B83" s="54"/>
      <c r="C83" s="56"/>
      <c r="D83" s="56"/>
      <c r="E83" s="56">
        <f t="shared" si="1"/>
        <v>0</v>
      </c>
      <c r="F83" s="77"/>
      <c r="G83" s="76"/>
      <c r="H83" s="54"/>
    </row>
    <row r="84" spans="1:8">
      <c r="A84" s="74"/>
      <c r="B84" s="54"/>
      <c r="C84" s="56"/>
      <c r="D84" s="56"/>
      <c r="E84" s="56">
        <f t="shared" si="1"/>
        <v>0</v>
      </c>
      <c r="F84" s="77"/>
      <c r="G84" s="76"/>
      <c r="H84" s="54"/>
    </row>
    <row r="85" spans="1:8">
      <c r="A85" s="74"/>
      <c r="B85" s="54"/>
      <c r="C85" s="56"/>
      <c r="D85" s="56"/>
      <c r="E85" s="56">
        <f t="shared" si="1"/>
        <v>0</v>
      </c>
      <c r="F85" s="77"/>
      <c r="G85" s="76"/>
      <c r="H85" s="54"/>
    </row>
    <row r="86" spans="1:8">
      <c r="A86" s="74"/>
      <c r="B86" s="54"/>
      <c r="C86" s="56"/>
      <c r="D86" s="56"/>
      <c r="E86" s="56">
        <f t="shared" si="1"/>
        <v>0</v>
      </c>
      <c r="F86" s="77"/>
      <c r="G86" s="76"/>
      <c r="H86" s="54"/>
    </row>
    <row r="87" spans="1:8">
      <c r="A87" s="74"/>
      <c r="B87" s="54"/>
      <c r="C87" s="56"/>
      <c r="D87" s="56"/>
      <c r="E87" s="56">
        <f t="shared" si="1"/>
        <v>0</v>
      </c>
      <c r="F87" s="77"/>
      <c r="G87" s="76"/>
      <c r="H87" s="54"/>
    </row>
    <row r="88" spans="1:8">
      <c r="A88" s="74"/>
      <c r="B88" s="54"/>
      <c r="C88" s="56"/>
      <c r="D88" s="56"/>
      <c r="E88" s="56">
        <f t="shared" si="1"/>
        <v>0</v>
      </c>
      <c r="F88" s="77"/>
      <c r="G88" s="76"/>
      <c r="H88" s="54"/>
    </row>
    <row r="89" spans="1:8">
      <c r="A89" s="74"/>
      <c r="B89" s="54"/>
      <c r="C89" s="56"/>
      <c r="D89" s="56"/>
      <c r="E89" s="56">
        <f t="shared" si="1"/>
        <v>0</v>
      </c>
      <c r="F89" s="77"/>
      <c r="G89" s="76"/>
      <c r="H89" s="54"/>
    </row>
    <row r="90" spans="1:8">
      <c r="A90" s="74"/>
      <c r="B90" s="54"/>
      <c r="C90" s="56"/>
      <c r="D90" s="56"/>
      <c r="E90" s="56">
        <f t="shared" si="1"/>
        <v>0</v>
      </c>
      <c r="F90" s="77"/>
      <c r="G90" s="76"/>
      <c r="H90" s="54"/>
    </row>
    <row r="91" spans="1:8">
      <c r="A91" s="74"/>
      <c r="B91" s="54"/>
      <c r="C91" s="56"/>
      <c r="D91" s="56"/>
      <c r="E91" s="56">
        <f t="shared" si="1"/>
        <v>0</v>
      </c>
      <c r="F91" s="77"/>
      <c r="G91" s="76"/>
      <c r="H91" s="54"/>
    </row>
    <row r="92" spans="1:8">
      <c r="A92" s="74"/>
      <c r="B92" s="54"/>
      <c r="C92" s="56"/>
      <c r="D92" s="56"/>
      <c r="E92" s="56">
        <f t="shared" si="1"/>
        <v>0</v>
      </c>
      <c r="F92" s="77"/>
      <c r="G92" s="76"/>
      <c r="H92" s="54"/>
    </row>
    <row r="93" spans="1:8">
      <c r="A93" s="74"/>
      <c r="B93" s="54"/>
      <c r="C93" s="56"/>
      <c r="D93" s="56"/>
      <c r="E93" s="56">
        <f t="shared" si="1"/>
        <v>0</v>
      </c>
      <c r="F93" s="78"/>
      <c r="G93" s="76"/>
      <c r="H93" s="54"/>
    </row>
    <row r="94" spans="1:8">
      <c r="A94" s="74"/>
      <c r="B94" s="54"/>
      <c r="C94" s="56"/>
      <c r="D94" s="56"/>
      <c r="E94" s="56">
        <f t="shared" si="1"/>
        <v>0</v>
      </c>
      <c r="F94" s="77"/>
      <c r="G94" s="81"/>
      <c r="H94" s="54"/>
    </row>
    <row r="95" spans="1:8">
      <c r="A95" s="74"/>
      <c r="B95" s="54"/>
      <c r="C95" s="56"/>
      <c r="D95" s="56"/>
      <c r="E95" s="56">
        <f t="shared" si="1"/>
        <v>0</v>
      </c>
      <c r="F95" s="77"/>
      <c r="G95" s="76"/>
      <c r="H95" s="54"/>
    </row>
    <row r="96" spans="1:8">
      <c r="A96" s="74"/>
      <c r="B96" s="54"/>
      <c r="C96" s="56"/>
      <c r="D96" s="56"/>
      <c r="E96" s="56">
        <f t="shared" si="1"/>
        <v>0</v>
      </c>
      <c r="F96" s="77"/>
      <c r="G96" s="76"/>
      <c r="H96" s="54"/>
    </row>
    <row r="97" spans="1:8">
      <c r="A97" s="74"/>
      <c r="B97" s="54"/>
      <c r="C97" s="56"/>
      <c r="D97" s="56"/>
      <c r="E97" s="56">
        <f t="shared" si="1"/>
        <v>0</v>
      </c>
      <c r="F97" s="77"/>
      <c r="G97" s="69"/>
      <c r="H97" s="82"/>
    </row>
    <row r="98" spans="1:8">
      <c r="A98" s="74"/>
      <c r="B98" s="54"/>
      <c r="C98" s="56"/>
      <c r="D98" s="56"/>
      <c r="E98" s="56">
        <f t="shared" si="1"/>
        <v>0</v>
      </c>
      <c r="F98" s="77"/>
      <c r="G98" s="76"/>
      <c r="H98" s="82"/>
    </row>
    <row r="99" spans="1:8">
      <c r="A99" s="74"/>
      <c r="B99" s="54"/>
      <c r="C99" s="56"/>
      <c r="D99" s="56"/>
      <c r="E99" s="56">
        <f t="shared" si="1"/>
        <v>0</v>
      </c>
      <c r="F99" s="77"/>
      <c r="G99" s="76"/>
      <c r="H99" s="54"/>
    </row>
    <row r="100" spans="1:8" s="71" customFormat="1">
      <c r="A100" s="74"/>
      <c r="B100" s="54"/>
      <c r="C100" s="56"/>
      <c r="D100" s="56"/>
      <c r="E100" s="56">
        <f t="shared" si="1"/>
        <v>0</v>
      </c>
      <c r="F100" s="77"/>
      <c r="G100" s="69"/>
      <c r="H100" s="82"/>
    </row>
    <row r="101" spans="1:8">
      <c r="A101" s="74"/>
      <c r="B101" s="54"/>
      <c r="C101" s="56"/>
      <c r="D101" s="56"/>
      <c r="E101" s="56">
        <f t="shared" si="1"/>
        <v>0</v>
      </c>
      <c r="F101" s="77"/>
      <c r="G101" s="76"/>
      <c r="H101" s="54"/>
    </row>
    <row r="102" spans="1:8">
      <c r="A102" s="74"/>
      <c r="B102" s="54"/>
      <c r="C102" s="56"/>
      <c r="D102" s="56"/>
      <c r="E102" s="56">
        <f t="shared" si="1"/>
        <v>0</v>
      </c>
      <c r="F102" s="77"/>
      <c r="G102" s="76"/>
      <c r="H102" s="54"/>
    </row>
    <row r="103" spans="1:8" s="71" customFormat="1">
      <c r="A103" s="74"/>
      <c r="B103" s="54"/>
      <c r="C103" s="56"/>
      <c r="D103" s="56"/>
      <c r="E103" s="56">
        <f t="shared" si="1"/>
        <v>0</v>
      </c>
      <c r="F103" s="77"/>
      <c r="G103" s="69"/>
      <c r="H103" s="82"/>
    </row>
    <row r="104" spans="1:8">
      <c r="A104" s="74"/>
      <c r="B104" s="54"/>
      <c r="C104" s="56"/>
      <c r="D104" s="56"/>
      <c r="E104" s="56">
        <f t="shared" si="1"/>
        <v>0</v>
      </c>
      <c r="F104" s="77"/>
      <c r="G104" s="76"/>
      <c r="H104" s="54"/>
    </row>
    <row r="105" spans="1:8">
      <c r="A105" s="74"/>
      <c r="B105" s="54"/>
      <c r="C105" s="56"/>
      <c r="D105" s="56"/>
      <c r="E105" s="56">
        <f t="shared" si="1"/>
        <v>0</v>
      </c>
      <c r="F105" s="77"/>
      <c r="G105" s="76"/>
      <c r="H105" s="54"/>
    </row>
    <row r="106" spans="1:8">
      <c r="A106" s="74"/>
      <c r="B106" s="54"/>
      <c r="C106" s="56"/>
      <c r="D106" s="56"/>
      <c r="E106" s="56">
        <f t="shared" si="1"/>
        <v>0</v>
      </c>
      <c r="F106" s="77"/>
      <c r="G106" s="76"/>
      <c r="H106" s="54"/>
    </row>
    <row r="107" spans="1:8" s="71" customFormat="1">
      <c r="A107" s="74"/>
      <c r="B107" s="54"/>
      <c r="C107" s="56"/>
      <c r="D107" s="56"/>
      <c r="E107" s="56">
        <f t="shared" si="1"/>
        <v>0</v>
      </c>
      <c r="F107" s="77"/>
      <c r="G107" s="76"/>
      <c r="H107" s="54"/>
    </row>
    <row r="108" spans="1:8" s="71" customFormat="1">
      <c r="A108" s="74"/>
      <c r="B108" s="54"/>
      <c r="C108" s="56"/>
      <c r="D108" s="56"/>
      <c r="E108" s="56">
        <f t="shared" si="1"/>
        <v>0</v>
      </c>
      <c r="F108" s="77"/>
      <c r="G108" s="76"/>
      <c r="H108" s="54"/>
    </row>
    <row r="109" spans="1:8" s="71" customFormat="1">
      <c r="A109" s="74"/>
      <c r="B109" s="54"/>
      <c r="C109" s="56"/>
      <c r="D109" s="56"/>
      <c r="E109" s="56">
        <f t="shared" si="1"/>
        <v>0</v>
      </c>
      <c r="F109" s="77"/>
      <c r="G109" s="76"/>
      <c r="H109" s="54"/>
    </row>
    <row r="110" spans="1:8">
      <c r="A110" s="74"/>
      <c r="B110" s="54"/>
      <c r="C110" s="56"/>
      <c r="D110" s="56"/>
      <c r="E110" s="56">
        <f t="shared" si="1"/>
        <v>0</v>
      </c>
      <c r="F110" s="77"/>
      <c r="G110" s="76"/>
      <c r="H110" s="54"/>
    </row>
    <row r="111" spans="1:8" s="71" customFormat="1">
      <c r="A111" s="74"/>
      <c r="B111" s="54"/>
      <c r="C111" s="56"/>
      <c r="D111" s="56"/>
      <c r="E111" s="56">
        <f t="shared" si="1"/>
        <v>0</v>
      </c>
      <c r="F111" s="77"/>
      <c r="G111" s="76"/>
      <c r="H111" s="54"/>
    </row>
    <row r="112" spans="1:8">
      <c r="A112" s="74"/>
      <c r="B112" s="54"/>
      <c r="C112" s="56"/>
      <c r="D112" s="56"/>
      <c r="E112" s="56">
        <f t="shared" si="1"/>
        <v>0</v>
      </c>
      <c r="F112" s="77"/>
      <c r="G112" s="76"/>
      <c r="H112" s="54"/>
    </row>
    <row r="113" spans="1:8">
      <c r="A113" s="74"/>
      <c r="B113" s="54"/>
      <c r="C113" s="56"/>
      <c r="D113" s="56"/>
      <c r="E113" s="56">
        <f t="shared" si="1"/>
        <v>0</v>
      </c>
      <c r="F113" s="77"/>
      <c r="G113" s="76"/>
      <c r="H113" s="54"/>
    </row>
    <row r="114" spans="1:8">
      <c r="A114" s="74"/>
      <c r="B114" s="54"/>
      <c r="C114" s="56"/>
      <c r="D114" s="56"/>
      <c r="E114" s="56">
        <f t="shared" si="1"/>
        <v>0</v>
      </c>
      <c r="F114" s="77"/>
      <c r="G114" s="76"/>
      <c r="H114" s="54"/>
    </row>
    <row r="115" spans="1:8">
      <c r="A115" s="74"/>
      <c r="B115" s="54"/>
      <c r="C115" s="56"/>
      <c r="D115" s="56"/>
      <c r="E115" s="56">
        <f t="shared" si="1"/>
        <v>0</v>
      </c>
      <c r="F115" s="77"/>
      <c r="G115" s="76"/>
      <c r="H115" s="54"/>
    </row>
    <row r="116" spans="1:8">
      <c r="A116" s="74"/>
      <c r="B116" s="54"/>
      <c r="C116" s="56"/>
      <c r="D116" s="56"/>
      <c r="E116" s="56">
        <f t="shared" si="1"/>
        <v>0</v>
      </c>
      <c r="F116" s="77"/>
      <c r="G116" s="76"/>
      <c r="H116" s="54"/>
    </row>
    <row r="117" spans="1:8">
      <c r="A117" s="74"/>
      <c r="B117" s="54"/>
      <c r="C117" s="56"/>
      <c r="D117" s="56"/>
      <c r="E117" s="56">
        <f t="shared" si="1"/>
        <v>0</v>
      </c>
      <c r="F117" s="77"/>
      <c r="G117" s="76"/>
      <c r="H117" s="54"/>
    </row>
    <row r="118" spans="1:8">
      <c r="A118" s="74"/>
      <c r="B118" s="54"/>
      <c r="C118" s="56"/>
      <c r="D118" s="56"/>
      <c r="E118" s="56">
        <f t="shared" si="1"/>
        <v>0</v>
      </c>
      <c r="F118" s="77"/>
      <c r="G118" s="76"/>
      <c r="H118" s="54"/>
    </row>
    <row r="119" spans="1:8">
      <c r="A119" s="74"/>
      <c r="B119" s="54"/>
      <c r="C119" s="56"/>
      <c r="D119" s="56"/>
      <c r="E119" s="56">
        <f t="shared" si="1"/>
        <v>0</v>
      </c>
      <c r="F119" s="77"/>
      <c r="G119" s="69"/>
      <c r="H119" s="54"/>
    </row>
    <row r="120" spans="1:8">
      <c r="A120" s="74"/>
      <c r="B120" s="54"/>
      <c r="C120" s="56"/>
      <c r="D120" s="56"/>
      <c r="E120" s="56">
        <f t="shared" si="1"/>
        <v>0</v>
      </c>
      <c r="F120" s="77"/>
      <c r="G120" s="69"/>
      <c r="H120" s="54"/>
    </row>
    <row r="121" spans="1:8">
      <c r="A121" s="74"/>
      <c r="B121" s="54"/>
      <c r="C121" s="56"/>
      <c r="D121" s="56"/>
      <c r="E121" s="56">
        <f t="shared" si="1"/>
        <v>0</v>
      </c>
      <c r="F121" s="77"/>
      <c r="G121" s="69"/>
      <c r="H121" s="54"/>
    </row>
    <row r="122" spans="1:8">
      <c r="A122" s="74"/>
      <c r="B122" s="54"/>
      <c r="C122" s="56"/>
      <c r="D122" s="56"/>
      <c r="E122" s="56">
        <f t="shared" si="1"/>
        <v>0</v>
      </c>
      <c r="F122" s="77"/>
      <c r="G122" s="76"/>
      <c r="H122" s="54"/>
    </row>
    <row r="123" spans="1:8">
      <c r="A123" s="83"/>
      <c r="B123" s="54"/>
      <c r="C123" s="56"/>
      <c r="D123" s="84"/>
      <c r="E123" s="56">
        <f t="shared" si="1"/>
        <v>0</v>
      </c>
      <c r="F123" s="77"/>
      <c r="G123" s="76"/>
      <c r="H123" s="54"/>
    </row>
    <row r="124" spans="1:8">
      <c r="A124" s="74"/>
      <c r="B124" s="54"/>
      <c r="C124" s="56"/>
      <c r="D124" s="56"/>
      <c r="E124" s="56">
        <f t="shared" si="1"/>
        <v>0</v>
      </c>
      <c r="F124" s="77"/>
      <c r="G124" s="69"/>
      <c r="H124" s="54"/>
    </row>
    <row r="125" spans="1:8">
      <c r="A125" s="74"/>
      <c r="B125" s="54"/>
      <c r="C125" s="56"/>
      <c r="D125" s="56"/>
      <c r="E125" s="56">
        <f t="shared" si="1"/>
        <v>0</v>
      </c>
      <c r="F125" s="77"/>
      <c r="G125" s="76"/>
      <c r="H125" s="54"/>
    </row>
    <row r="126" spans="1:8">
      <c r="A126" s="74"/>
      <c r="B126" s="54"/>
      <c r="C126" s="56"/>
      <c r="D126" s="56"/>
      <c r="E126" s="56">
        <f t="shared" si="1"/>
        <v>0</v>
      </c>
      <c r="F126" s="77"/>
      <c r="G126" s="76"/>
      <c r="H126" s="54"/>
    </row>
    <row r="127" spans="1:8">
      <c r="A127" s="74"/>
      <c r="B127" s="54"/>
      <c r="C127" s="56"/>
      <c r="D127" s="56"/>
      <c r="E127" s="56">
        <f t="shared" si="1"/>
        <v>0</v>
      </c>
      <c r="F127" s="77"/>
      <c r="G127" s="76"/>
      <c r="H127" s="54"/>
    </row>
    <row r="128" spans="1:8">
      <c r="A128" s="74"/>
      <c r="B128" s="54"/>
      <c r="C128" s="56"/>
      <c r="D128" s="56"/>
      <c r="E128" s="56">
        <f t="shared" si="1"/>
        <v>0</v>
      </c>
      <c r="F128" s="77"/>
      <c r="G128" s="76"/>
      <c r="H128" s="54"/>
    </row>
    <row r="129" spans="1:8">
      <c r="A129" s="83"/>
      <c r="B129" s="54"/>
      <c r="C129" s="56"/>
      <c r="D129" s="56"/>
      <c r="E129" s="56">
        <f t="shared" si="1"/>
        <v>0</v>
      </c>
      <c r="F129" s="77"/>
      <c r="G129" s="76"/>
      <c r="H129" s="54"/>
    </row>
    <row r="130" spans="1:8">
      <c r="A130" s="74"/>
      <c r="B130" s="54"/>
      <c r="C130" s="56"/>
      <c r="D130" s="56"/>
      <c r="E130" s="56">
        <f t="shared" si="1"/>
        <v>0</v>
      </c>
      <c r="F130" s="77"/>
      <c r="G130" s="76"/>
      <c r="H130" s="54"/>
    </row>
    <row r="131" spans="1:8" s="71" customFormat="1">
      <c r="A131" s="74"/>
      <c r="B131" s="54"/>
      <c r="C131" s="56"/>
      <c r="D131" s="56"/>
      <c r="E131" s="56">
        <f t="shared" si="1"/>
        <v>0</v>
      </c>
      <c r="F131" s="77"/>
      <c r="G131" s="76"/>
      <c r="H131" s="54"/>
    </row>
    <row r="132" spans="1:8">
      <c r="A132" s="74"/>
      <c r="B132" s="54"/>
      <c r="C132" s="56"/>
      <c r="D132" s="56"/>
      <c r="E132" s="56">
        <f t="shared" si="1"/>
        <v>0</v>
      </c>
      <c r="F132" s="77"/>
      <c r="G132" s="76"/>
      <c r="H132" s="54"/>
    </row>
    <row r="133" spans="1:8">
      <c r="A133" s="74"/>
      <c r="B133" s="54"/>
      <c r="C133" s="56"/>
      <c r="D133" s="56"/>
      <c r="E133" s="56">
        <f t="shared" si="1"/>
        <v>0</v>
      </c>
      <c r="F133" s="77"/>
      <c r="G133" s="76"/>
      <c r="H133" s="54"/>
    </row>
    <row r="134" spans="1:8">
      <c r="A134" s="74"/>
      <c r="B134" s="54"/>
      <c r="C134" s="56"/>
      <c r="D134" s="56"/>
      <c r="E134" s="56">
        <f t="shared" si="1"/>
        <v>0</v>
      </c>
      <c r="F134" s="77"/>
      <c r="G134" s="76"/>
      <c r="H134" s="54"/>
    </row>
    <row r="135" spans="1:8">
      <c r="A135" s="74"/>
      <c r="B135" s="54"/>
      <c r="C135" s="56"/>
      <c r="D135" s="56"/>
      <c r="E135" s="56">
        <f t="shared" si="1"/>
        <v>0</v>
      </c>
      <c r="F135" s="77"/>
      <c r="G135" s="76"/>
      <c r="H135" s="54"/>
    </row>
    <row r="136" spans="1:8">
      <c r="A136" s="74"/>
      <c r="B136" s="54"/>
      <c r="C136" s="56"/>
      <c r="D136" s="56"/>
      <c r="E136" s="56">
        <f t="shared" ref="E136:E163" si="2">E135-C136+D136</f>
        <v>0</v>
      </c>
      <c r="F136" s="77"/>
      <c r="G136" s="76"/>
      <c r="H136" s="54"/>
    </row>
    <row r="137" spans="1:8">
      <c r="A137" s="74"/>
      <c r="B137" s="54"/>
      <c r="C137" s="56"/>
      <c r="D137" s="56"/>
      <c r="E137" s="56">
        <f t="shared" si="2"/>
        <v>0</v>
      </c>
      <c r="F137" s="77"/>
      <c r="G137" s="76"/>
      <c r="H137" s="82"/>
    </row>
    <row r="138" spans="1:8">
      <c r="A138" s="74"/>
      <c r="B138" s="54"/>
      <c r="C138" s="56"/>
      <c r="D138" s="56"/>
      <c r="E138" s="56">
        <f t="shared" si="2"/>
        <v>0</v>
      </c>
      <c r="F138" s="77"/>
      <c r="G138" s="76"/>
      <c r="H138" s="54"/>
    </row>
    <row r="139" spans="1:8">
      <c r="A139" s="74"/>
      <c r="B139" s="54"/>
      <c r="C139" s="56"/>
      <c r="D139" s="56"/>
      <c r="E139" s="56">
        <f t="shared" si="2"/>
        <v>0</v>
      </c>
      <c r="F139" s="77"/>
      <c r="G139" s="76"/>
      <c r="H139" s="54"/>
    </row>
    <row r="140" spans="1:8">
      <c r="A140" s="74"/>
      <c r="B140" s="54"/>
      <c r="C140" s="56"/>
      <c r="D140" s="56"/>
      <c r="E140" s="56">
        <f t="shared" si="2"/>
        <v>0</v>
      </c>
      <c r="F140" s="77"/>
      <c r="G140" s="76"/>
      <c r="H140" s="54"/>
    </row>
    <row r="141" spans="1:8">
      <c r="A141" s="74"/>
      <c r="B141" s="54"/>
      <c r="C141" s="56"/>
      <c r="D141" s="56"/>
      <c r="E141" s="56">
        <f t="shared" si="2"/>
        <v>0</v>
      </c>
      <c r="F141" s="77"/>
      <c r="G141" s="76"/>
      <c r="H141" s="54"/>
    </row>
    <row r="142" spans="1:8">
      <c r="A142" s="74"/>
      <c r="B142" s="54"/>
      <c r="C142" s="56"/>
      <c r="D142" s="56"/>
      <c r="E142" s="56">
        <f t="shared" si="2"/>
        <v>0</v>
      </c>
      <c r="F142" s="77"/>
      <c r="G142" s="76"/>
      <c r="H142" s="54"/>
    </row>
    <row r="143" spans="1:8">
      <c r="A143" s="74"/>
      <c r="B143" s="54"/>
      <c r="C143" s="56"/>
      <c r="D143" s="56"/>
      <c r="E143" s="56">
        <f t="shared" si="2"/>
        <v>0</v>
      </c>
      <c r="F143" s="77"/>
      <c r="G143" s="76"/>
      <c r="H143" s="54"/>
    </row>
    <row r="144" spans="1:8">
      <c r="A144" s="74"/>
      <c r="B144" s="54"/>
      <c r="C144" s="56"/>
      <c r="D144" s="56"/>
      <c r="E144" s="56">
        <f t="shared" si="2"/>
        <v>0</v>
      </c>
      <c r="F144" s="77"/>
      <c r="G144" s="76"/>
      <c r="H144" s="54"/>
    </row>
    <row r="145" spans="1:8">
      <c r="A145" s="74"/>
      <c r="B145" s="54"/>
      <c r="C145" s="56"/>
      <c r="D145" s="56"/>
      <c r="E145" s="56">
        <f t="shared" si="2"/>
        <v>0</v>
      </c>
      <c r="F145" s="77"/>
      <c r="G145" s="76"/>
      <c r="H145" s="54"/>
    </row>
    <row r="146" spans="1:8">
      <c r="A146" s="74"/>
      <c r="B146" s="54"/>
      <c r="C146" s="56"/>
      <c r="D146" s="56"/>
      <c r="E146" s="56">
        <f t="shared" si="2"/>
        <v>0</v>
      </c>
      <c r="F146" s="77"/>
      <c r="G146" s="76"/>
      <c r="H146" s="54"/>
    </row>
    <row r="147" spans="1:8">
      <c r="A147" s="74"/>
      <c r="B147" s="54"/>
      <c r="C147" s="56"/>
      <c r="D147" s="56"/>
      <c r="E147" s="56">
        <f t="shared" si="2"/>
        <v>0</v>
      </c>
      <c r="F147" s="77"/>
      <c r="G147" s="76"/>
      <c r="H147" s="54"/>
    </row>
    <row r="148" spans="1:8">
      <c r="A148" s="74"/>
      <c r="B148" s="54"/>
      <c r="C148" s="56"/>
      <c r="D148" s="56"/>
      <c r="E148" s="56">
        <f t="shared" si="2"/>
        <v>0</v>
      </c>
      <c r="F148" s="77"/>
      <c r="G148" s="76"/>
      <c r="H148" s="54"/>
    </row>
    <row r="149" spans="1:8">
      <c r="A149" s="74"/>
      <c r="B149" s="54"/>
      <c r="C149" s="56"/>
      <c r="D149" s="56"/>
      <c r="E149" s="56">
        <f t="shared" si="2"/>
        <v>0</v>
      </c>
      <c r="F149" s="77"/>
      <c r="G149" s="76"/>
      <c r="H149" s="54"/>
    </row>
    <row r="150" spans="1:8" s="71" customFormat="1">
      <c r="A150" s="74"/>
      <c r="B150" s="54"/>
      <c r="C150" s="56"/>
      <c r="D150" s="56"/>
      <c r="E150" s="56">
        <f t="shared" si="2"/>
        <v>0</v>
      </c>
      <c r="F150" s="77"/>
      <c r="G150" s="76"/>
      <c r="H150" s="54"/>
    </row>
    <row r="151" spans="1:8">
      <c r="A151" s="74"/>
      <c r="B151" s="54"/>
      <c r="C151" s="56"/>
      <c r="D151" s="56"/>
      <c r="E151" s="56">
        <f t="shared" si="2"/>
        <v>0</v>
      </c>
      <c r="F151" s="78"/>
      <c r="G151" s="76"/>
      <c r="H151" s="54"/>
    </row>
    <row r="152" spans="1:8">
      <c r="A152" s="74"/>
      <c r="B152" s="54"/>
      <c r="C152" s="56"/>
      <c r="D152" s="56"/>
      <c r="E152" s="56">
        <f t="shared" si="2"/>
        <v>0</v>
      </c>
      <c r="F152" s="77"/>
      <c r="G152" s="54"/>
      <c r="H152" s="54"/>
    </row>
    <row r="153" spans="1:8">
      <c r="A153" s="74"/>
      <c r="B153" s="54"/>
      <c r="C153" s="56"/>
      <c r="D153" s="56"/>
      <c r="E153" s="56">
        <f t="shared" si="2"/>
        <v>0</v>
      </c>
      <c r="F153" s="77"/>
      <c r="G153" s="76"/>
      <c r="H153" s="54"/>
    </row>
    <row r="154" spans="1:8">
      <c r="A154" s="74"/>
      <c r="B154" s="54"/>
      <c r="C154" s="56"/>
      <c r="D154" s="56"/>
      <c r="E154" s="56">
        <f t="shared" si="2"/>
        <v>0</v>
      </c>
      <c r="F154" s="77"/>
      <c r="G154" s="76"/>
      <c r="H154" s="54"/>
    </row>
    <row r="155" spans="1:8">
      <c r="A155" s="74"/>
      <c r="B155" s="54"/>
      <c r="C155" s="56"/>
      <c r="D155" s="56"/>
      <c r="E155" s="56">
        <f t="shared" si="2"/>
        <v>0</v>
      </c>
      <c r="F155" s="77"/>
      <c r="G155" s="76"/>
      <c r="H155" s="54"/>
    </row>
    <row r="156" spans="1:8">
      <c r="A156" s="74"/>
      <c r="B156" s="54"/>
      <c r="C156" s="56"/>
      <c r="D156" s="56"/>
      <c r="E156" s="56">
        <f t="shared" si="2"/>
        <v>0</v>
      </c>
      <c r="F156" s="77"/>
      <c r="G156" s="76"/>
      <c r="H156" s="54"/>
    </row>
    <row r="157" spans="1:8">
      <c r="A157" s="74"/>
      <c r="B157" s="54"/>
      <c r="C157" s="56"/>
      <c r="D157" s="56"/>
      <c r="E157" s="56">
        <f t="shared" si="2"/>
        <v>0</v>
      </c>
      <c r="F157" s="77"/>
      <c r="G157" s="76"/>
      <c r="H157" s="54"/>
    </row>
    <row r="158" spans="1:8">
      <c r="A158" s="74"/>
      <c r="B158" s="54"/>
      <c r="C158" s="56"/>
      <c r="D158" s="56"/>
      <c r="E158" s="56">
        <f t="shared" si="2"/>
        <v>0</v>
      </c>
      <c r="F158" s="77"/>
      <c r="G158" s="76"/>
      <c r="H158" s="54"/>
    </row>
    <row r="159" spans="1:8">
      <c r="A159" s="74"/>
      <c r="B159" s="54"/>
      <c r="C159" s="56"/>
      <c r="D159" s="56"/>
      <c r="E159" s="56">
        <f t="shared" si="2"/>
        <v>0</v>
      </c>
      <c r="F159" s="77"/>
      <c r="G159" s="76"/>
      <c r="H159" s="54"/>
    </row>
    <row r="160" spans="1:8">
      <c r="A160" s="74"/>
      <c r="B160" s="54"/>
      <c r="C160" s="56"/>
      <c r="D160" s="56"/>
      <c r="E160" s="56">
        <f t="shared" si="2"/>
        <v>0</v>
      </c>
      <c r="F160" s="77"/>
      <c r="G160" s="76"/>
      <c r="H160" s="54"/>
    </row>
    <row r="161" spans="1:8">
      <c r="A161" s="74"/>
      <c r="B161" s="54"/>
      <c r="C161" s="56"/>
      <c r="D161" s="56"/>
      <c r="E161" s="56">
        <f t="shared" si="2"/>
        <v>0</v>
      </c>
      <c r="F161" s="77"/>
      <c r="G161" s="76"/>
      <c r="H161" s="54"/>
    </row>
    <row r="162" spans="1:8">
      <c r="A162" s="74"/>
      <c r="B162" s="54"/>
      <c r="C162" s="56"/>
      <c r="D162" s="56"/>
      <c r="E162" s="56">
        <f t="shared" si="2"/>
        <v>0</v>
      </c>
      <c r="F162" s="77"/>
      <c r="G162" s="76"/>
      <c r="H162" s="54"/>
    </row>
    <row r="163" spans="1:8">
      <c r="A163" s="74"/>
      <c r="B163" s="54"/>
      <c r="C163" s="56"/>
      <c r="D163" s="56"/>
      <c r="E163" s="56">
        <f t="shared" si="2"/>
        <v>0</v>
      </c>
      <c r="F163" s="77"/>
      <c r="G163" s="76"/>
      <c r="H163" s="54"/>
    </row>
    <row r="164" spans="1:8">
      <c r="C164" s="70">
        <f>SUM(C7:C163)</f>
        <v>0</v>
      </c>
      <c r="D164" s="70">
        <f>SUM(D7:D163)</f>
        <v>0</v>
      </c>
      <c r="F164" s="67"/>
    </row>
    <row r="168" spans="1:8">
      <c r="H168" t="s">
        <v>435</v>
      </c>
    </row>
  </sheetData>
  <autoFilter ref="A5:H5" xr:uid="{163EE640-5476-4526-A73E-2E8E04840C34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235C-ABD4-4A6C-A3D7-5979FB98EF8D}">
  <dimension ref="A1:H168"/>
  <sheetViews>
    <sheetView zoomScale="175" zoomScaleNormal="175" workbookViewId="0">
      <selection activeCell="A3" sqref="A3"/>
    </sheetView>
  </sheetViews>
  <sheetFormatPr baseColWidth="10" defaultColWidth="11.42578125" defaultRowHeight="15"/>
  <cols>
    <col min="2" max="2" width="22.28515625" customWidth="1"/>
    <col min="3" max="3" width="12.85546875" customWidth="1"/>
    <col min="4" max="4" width="12.7109375" customWidth="1"/>
    <col min="5" max="5" width="12.28515625" customWidth="1"/>
    <col min="6" max="6" width="10.140625" style="68" customWidth="1"/>
    <col min="7" max="7" width="65.42578125" customWidth="1"/>
    <col min="8" max="8" width="59.28515625" customWidth="1"/>
  </cols>
  <sheetData>
    <row r="1" spans="1:8">
      <c r="A1" s="15"/>
      <c r="B1" s="15"/>
      <c r="C1" s="32"/>
      <c r="D1" s="32"/>
      <c r="E1" s="28" t="s">
        <v>0</v>
      </c>
      <c r="F1" s="65"/>
      <c r="G1" s="29"/>
      <c r="H1" s="29"/>
    </row>
    <row r="2" spans="1:8">
      <c r="A2" s="30" t="s">
        <v>552</v>
      </c>
      <c r="B2" s="15"/>
      <c r="C2" s="32"/>
      <c r="D2" s="32"/>
      <c r="E2" s="28" t="s">
        <v>2</v>
      </c>
      <c r="F2" s="65"/>
      <c r="G2" s="29"/>
      <c r="H2" s="29"/>
    </row>
    <row r="3" spans="1:8">
      <c r="A3" s="30" t="s">
        <v>553</v>
      </c>
      <c r="B3" s="15"/>
      <c r="C3" s="32"/>
      <c r="D3" s="32"/>
      <c r="E3" s="28" t="s">
        <v>4</v>
      </c>
      <c r="F3" s="65"/>
      <c r="G3" s="29"/>
      <c r="H3" s="29"/>
    </row>
    <row r="4" spans="1:8">
      <c r="A4" s="29"/>
      <c r="B4" s="29"/>
      <c r="C4" s="31"/>
      <c r="D4" s="31"/>
      <c r="E4" s="29"/>
      <c r="F4" s="66"/>
      <c r="G4" s="29"/>
      <c r="H4" s="29"/>
    </row>
    <row r="5" spans="1:8">
      <c r="A5" s="7" t="s">
        <v>5</v>
      </c>
      <c r="B5" s="7" t="s">
        <v>6</v>
      </c>
      <c r="C5" s="33" t="s">
        <v>7</v>
      </c>
      <c r="D5" s="33" t="s">
        <v>8</v>
      </c>
      <c r="E5" s="9" t="s">
        <v>9</v>
      </c>
      <c r="F5" s="64" t="s">
        <v>432</v>
      </c>
      <c r="G5" s="63" t="s">
        <v>433</v>
      </c>
      <c r="H5" s="54" t="s">
        <v>434</v>
      </c>
    </row>
    <row r="6" spans="1:8">
      <c r="A6" s="10"/>
      <c r="B6" s="10" t="s">
        <v>11</v>
      </c>
      <c r="C6" s="48"/>
      <c r="D6" s="48">
        <v>0</v>
      </c>
      <c r="E6" s="45"/>
      <c r="F6" s="63"/>
      <c r="G6" s="63"/>
      <c r="H6" s="45"/>
    </row>
    <row r="7" spans="1:8" s="71" customFormat="1">
      <c r="A7" s="74"/>
      <c r="B7" s="54"/>
      <c r="C7" s="56"/>
      <c r="D7" s="56"/>
      <c r="E7" s="56">
        <f>D6-C7+D7</f>
        <v>0</v>
      </c>
      <c r="F7" s="75"/>
      <c r="G7" s="76"/>
      <c r="H7" s="54"/>
    </row>
    <row r="8" spans="1:8">
      <c r="A8" s="74"/>
      <c r="B8" s="54"/>
      <c r="C8" s="56"/>
      <c r="D8" s="56"/>
      <c r="E8" s="56">
        <f t="shared" ref="E8:E71" si="0">E7-C8+D8</f>
        <v>0</v>
      </c>
      <c r="F8" s="75"/>
      <c r="G8" s="76"/>
      <c r="H8" s="54"/>
    </row>
    <row r="9" spans="1:8">
      <c r="A9" s="74"/>
      <c r="B9" s="54"/>
      <c r="C9" s="56"/>
      <c r="D9" s="56"/>
      <c r="E9" s="56">
        <f t="shared" si="0"/>
        <v>0</v>
      </c>
      <c r="F9" s="77"/>
      <c r="G9" s="76"/>
      <c r="H9" s="54"/>
    </row>
    <row r="10" spans="1:8">
      <c r="A10" s="74"/>
      <c r="B10" s="54"/>
      <c r="C10" s="56"/>
      <c r="D10" s="56"/>
      <c r="E10" s="56">
        <f t="shared" si="0"/>
        <v>0</v>
      </c>
      <c r="F10" s="77"/>
      <c r="G10" s="76"/>
      <c r="H10" s="54"/>
    </row>
    <row r="11" spans="1:8">
      <c r="A11" s="74"/>
      <c r="B11" s="54"/>
      <c r="C11" s="56"/>
      <c r="D11" s="56"/>
      <c r="E11" s="56">
        <f t="shared" si="0"/>
        <v>0</v>
      </c>
      <c r="F11" s="77"/>
      <c r="G11" s="76"/>
      <c r="H11" s="54"/>
    </row>
    <row r="12" spans="1:8">
      <c r="A12" s="74"/>
      <c r="B12" s="54"/>
      <c r="C12" s="56"/>
      <c r="D12" s="56"/>
      <c r="E12" s="56">
        <f t="shared" si="0"/>
        <v>0</v>
      </c>
      <c r="F12" s="77"/>
      <c r="G12" s="76"/>
      <c r="H12" s="54"/>
    </row>
    <row r="13" spans="1:8">
      <c r="A13" s="74"/>
      <c r="B13" s="54"/>
      <c r="C13" s="56"/>
      <c r="D13" s="56"/>
      <c r="E13" s="56">
        <f t="shared" si="0"/>
        <v>0</v>
      </c>
      <c r="F13" s="77"/>
      <c r="G13" s="76"/>
      <c r="H13" s="54"/>
    </row>
    <row r="14" spans="1:8">
      <c r="A14" s="74"/>
      <c r="B14" s="54"/>
      <c r="C14" s="56"/>
      <c r="D14" s="56"/>
      <c r="E14" s="56">
        <f t="shared" si="0"/>
        <v>0</v>
      </c>
      <c r="F14" s="75"/>
      <c r="G14" s="76"/>
      <c r="H14" s="54"/>
    </row>
    <row r="15" spans="1:8">
      <c r="A15" s="74"/>
      <c r="B15" s="54"/>
      <c r="C15" s="56"/>
      <c r="D15" s="56"/>
      <c r="E15" s="56">
        <f t="shared" si="0"/>
        <v>0</v>
      </c>
      <c r="F15" s="77"/>
      <c r="G15" s="76"/>
      <c r="H15" s="54"/>
    </row>
    <row r="16" spans="1:8">
      <c r="A16" s="74"/>
      <c r="B16" s="54"/>
      <c r="C16" s="56"/>
      <c r="D16" s="56"/>
      <c r="E16" s="56">
        <f t="shared" si="0"/>
        <v>0</v>
      </c>
      <c r="F16" s="77"/>
      <c r="G16" s="76"/>
      <c r="H16" s="54"/>
    </row>
    <row r="17" spans="1:8">
      <c r="A17" s="74"/>
      <c r="B17" s="54"/>
      <c r="C17" s="56"/>
      <c r="D17" s="56"/>
      <c r="E17" s="56">
        <f t="shared" si="0"/>
        <v>0</v>
      </c>
      <c r="F17" s="77"/>
      <c r="G17" s="76"/>
      <c r="H17" s="54"/>
    </row>
    <row r="18" spans="1:8">
      <c r="A18" s="74"/>
      <c r="B18" s="54"/>
      <c r="C18" s="56"/>
      <c r="D18" s="56"/>
      <c r="E18" s="56">
        <f t="shared" si="0"/>
        <v>0</v>
      </c>
      <c r="F18" s="77"/>
      <c r="G18" s="76"/>
      <c r="H18" s="54"/>
    </row>
    <row r="19" spans="1:8">
      <c r="A19" s="74"/>
      <c r="B19" s="54"/>
      <c r="C19" s="56"/>
      <c r="D19" s="56"/>
      <c r="E19" s="56">
        <f t="shared" si="0"/>
        <v>0</v>
      </c>
      <c r="F19" s="77"/>
      <c r="G19" s="76"/>
      <c r="H19" s="54"/>
    </row>
    <row r="20" spans="1:8">
      <c r="A20" s="74"/>
      <c r="B20" s="54"/>
      <c r="C20" s="56"/>
      <c r="D20" s="56"/>
      <c r="E20" s="56">
        <f t="shared" si="0"/>
        <v>0</v>
      </c>
      <c r="F20" s="77"/>
      <c r="G20" s="76"/>
      <c r="H20" s="54"/>
    </row>
    <row r="21" spans="1:8">
      <c r="A21" s="74"/>
      <c r="B21" s="54"/>
      <c r="C21" s="56"/>
      <c r="D21" s="56"/>
      <c r="E21" s="56">
        <f t="shared" si="0"/>
        <v>0</v>
      </c>
      <c r="F21" s="77"/>
      <c r="G21" s="76"/>
      <c r="H21" s="54"/>
    </row>
    <row r="22" spans="1:8">
      <c r="A22" s="74"/>
      <c r="B22" s="54"/>
      <c r="C22" s="56"/>
      <c r="D22" s="56"/>
      <c r="E22" s="56">
        <f t="shared" si="0"/>
        <v>0</v>
      </c>
      <c r="F22" s="77"/>
      <c r="G22" s="76"/>
      <c r="H22" s="54"/>
    </row>
    <row r="23" spans="1:8">
      <c r="A23" s="74"/>
      <c r="B23" s="54"/>
      <c r="C23" s="56"/>
      <c r="D23" s="56"/>
      <c r="E23" s="56">
        <f t="shared" si="0"/>
        <v>0</v>
      </c>
      <c r="F23" s="77"/>
      <c r="G23" s="76"/>
      <c r="H23" s="54"/>
    </row>
    <row r="24" spans="1:8">
      <c r="A24" s="74"/>
      <c r="B24" s="54"/>
      <c r="C24" s="56"/>
      <c r="D24" s="56"/>
      <c r="E24" s="56">
        <f t="shared" si="0"/>
        <v>0</v>
      </c>
      <c r="F24" s="77"/>
      <c r="G24" s="76"/>
      <c r="H24" s="54"/>
    </row>
    <row r="25" spans="1:8">
      <c r="A25" s="74"/>
      <c r="B25" s="54"/>
      <c r="C25" s="56"/>
      <c r="D25" s="56"/>
      <c r="E25" s="56">
        <f t="shared" si="0"/>
        <v>0</v>
      </c>
      <c r="F25" s="77"/>
      <c r="G25" s="76"/>
      <c r="H25" s="54"/>
    </row>
    <row r="26" spans="1:8">
      <c r="A26" s="74"/>
      <c r="B26" s="54"/>
      <c r="C26" s="56"/>
      <c r="D26" s="56"/>
      <c r="E26" s="56">
        <f t="shared" si="0"/>
        <v>0</v>
      </c>
      <c r="F26" s="77"/>
      <c r="G26" s="76"/>
      <c r="H26" s="54"/>
    </row>
    <row r="27" spans="1:8">
      <c r="A27" s="74"/>
      <c r="B27" s="54"/>
      <c r="C27" s="56"/>
      <c r="D27" s="56"/>
      <c r="E27" s="56">
        <f t="shared" si="0"/>
        <v>0</v>
      </c>
      <c r="F27" s="77"/>
      <c r="G27" s="76"/>
      <c r="H27" s="54"/>
    </row>
    <row r="28" spans="1:8">
      <c r="A28" s="74"/>
      <c r="B28" s="54"/>
      <c r="C28" s="56"/>
      <c r="D28" s="56"/>
      <c r="E28" s="56">
        <f t="shared" si="0"/>
        <v>0</v>
      </c>
      <c r="F28" s="77"/>
      <c r="G28" s="76"/>
      <c r="H28" s="54"/>
    </row>
    <row r="29" spans="1:8">
      <c r="A29" s="74"/>
      <c r="B29" s="54"/>
      <c r="C29" s="56"/>
      <c r="D29" s="56"/>
      <c r="E29" s="56">
        <f t="shared" si="0"/>
        <v>0</v>
      </c>
      <c r="F29" s="78"/>
      <c r="G29" s="54"/>
      <c r="H29" s="54"/>
    </row>
    <row r="30" spans="1:8">
      <c r="A30" s="74"/>
      <c r="B30" s="54"/>
      <c r="C30" s="56"/>
      <c r="D30" s="56"/>
      <c r="E30" s="56">
        <f t="shared" si="0"/>
        <v>0</v>
      </c>
      <c r="F30" s="77"/>
      <c r="G30" s="76"/>
      <c r="H30" s="54"/>
    </row>
    <row r="31" spans="1:8">
      <c r="A31" s="74"/>
      <c r="B31" s="54"/>
      <c r="C31" s="56"/>
      <c r="D31" s="56"/>
      <c r="E31" s="56">
        <f t="shared" si="0"/>
        <v>0</v>
      </c>
      <c r="F31" s="78"/>
      <c r="G31" s="54"/>
      <c r="H31" s="54"/>
    </row>
    <row r="32" spans="1:8">
      <c r="A32" s="74"/>
      <c r="B32" s="54"/>
      <c r="C32" s="56"/>
      <c r="D32" s="56"/>
      <c r="E32" s="56">
        <f t="shared" si="0"/>
        <v>0</v>
      </c>
      <c r="F32" s="78"/>
      <c r="G32" s="79"/>
      <c r="H32" s="54"/>
    </row>
    <row r="33" spans="1:8">
      <c r="A33" s="74"/>
      <c r="B33" s="54"/>
      <c r="C33" s="56"/>
      <c r="D33" s="56"/>
      <c r="E33" s="56">
        <f t="shared" si="0"/>
        <v>0</v>
      </c>
      <c r="F33" s="78"/>
      <c r="G33" s="79"/>
      <c r="H33" s="54"/>
    </row>
    <row r="34" spans="1:8">
      <c r="A34" s="74"/>
      <c r="B34" s="54"/>
      <c r="C34" s="56"/>
      <c r="D34" s="56"/>
      <c r="E34" s="56">
        <f t="shared" si="0"/>
        <v>0</v>
      </c>
      <c r="F34" s="78"/>
      <c r="G34" s="54"/>
      <c r="H34" s="54"/>
    </row>
    <row r="35" spans="1:8">
      <c r="A35" s="74"/>
      <c r="B35" s="54"/>
      <c r="C35" s="56"/>
      <c r="D35" s="56"/>
      <c r="E35" s="56">
        <f t="shared" si="0"/>
        <v>0</v>
      </c>
      <c r="F35" s="77"/>
      <c r="G35" s="76"/>
      <c r="H35" s="54"/>
    </row>
    <row r="36" spans="1:8">
      <c r="A36" s="74"/>
      <c r="B36" s="54"/>
      <c r="C36" s="56"/>
      <c r="D36" s="56"/>
      <c r="E36" s="56">
        <f t="shared" si="0"/>
        <v>0</v>
      </c>
      <c r="F36" s="77"/>
      <c r="G36" s="76"/>
      <c r="H36" s="54"/>
    </row>
    <row r="37" spans="1:8">
      <c r="A37" s="74"/>
      <c r="B37" s="54"/>
      <c r="C37" s="56"/>
      <c r="D37" s="56"/>
      <c r="E37" s="56">
        <f t="shared" si="0"/>
        <v>0</v>
      </c>
      <c r="F37" s="77"/>
      <c r="G37" s="76"/>
      <c r="H37" s="54"/>
    </row>
    <row r="38" spans="1:8">
      <c r="A38" s="74"/>
      <c r="B38" s="54"/>
      <c r="C38" s="56"/>
      <c r="D38" s="56"/>
      <c r="E38" s="56">
        <f t="shared" si="0"/>
        <v>0</v>
      </c>
      <c r="F38" s="78"/>
      <c r="G38" s="54"/>
      <c r="H38" s="54"/>
    </row>
    <row r="39" spans="1:8">
      <c r="A39" s="74"/>
      <c r="B39" s="54"/>
      <c r="C39" s="56"/>
      <c r="D39" s="56"/>
      <c r="E39" s="56">
        <f t="shared" si="0"/>
        <v>0</v>
      </c>
      <c r="F39" s="78"/>
      <c r="G39" s="80"/>
      <c r="H39" s="54"/>
    </row>
    <row r="40" spans="1:8">
      <c r="A40" s="74"/>
      <c r="B40" s="54"/>
      <c r="C40" s="56"/>
      <c r="D40" s="56"/>
      <c r="E40" s="56">
        <f t="shared" si="0"/>
        <v>0</v>
      </c>
      <c r="F40" s="77"/>
      <c r="G40" s="76"/>
      <c r="H40" s="54"/>
    </row>
    <row r="41" spans="1:8">
      <c r="A41" s="74"/>
      <c r="B41" s="54"/>
      <c r="C41" s="56"/>
      <c r="D41" s="56"/>
      <c r="E41" s="56">
        <f t="shared" si="0"/>
        <v>0</v>
      </c>
      <c r="F41" s="77"/>
      <c r="G41" s="76"/>
      <c r="H41" s="54"/>
    </row>
    <row r="42" spans="1:8">
      <c r="A42" s="74"/>
      <c r="B42" s="54"/>
      <c r="C42" s="56"/>
      <c r="D42" s="56"/>
      <c r="E42" s="56">
        <f t="shared" si="0"/>
        <v>0</v>
      </c>
      <c r="F42" s="77"/>
      <c r="G42" s="76"/>
      <c r="H42" s="54"/>
    </row>
    <row r="43" spans="1:8">
      <c r="A43" s="74"/>
      <c r="B43" s="54"/>
      <c r="C43" s="56"/>
      <c r="D43" s="56"/>
      <c r="E43" s="56">
        <f t="shared" si="0"/>
        <v>0</v>
      </c>
      <c r="F43" s="77"/>
      <c r="G43" s="76"/>
      <c r="H43" s="54"/>
    </row>
    <row r="44" spans="1:8">
      <c r="A44" s="74"/>
      <c r="B44" s="54"/>
      <c r="C44" s="56"/>
      <c r="D44" s="56"/>
      <c r="E44" s="56">
        <f t="shared" si="0"/>
        <v>0</v>
      </c>
      <c r="F44" s="77"/>
      <c r="G44" s="76"/>
      <c r="H44" s="54"/>
    </row>
    <row r="45" spans="1:8">
      <c r="A45" s="74"/>
      <c r="B45" s="54"/>
      <c r="C45" s="56"/>
      <c r="D45" s="56"/>
      <c r="E45" s="56">
        <f t="shared" si="0"/>
        <v>0</v>
      </c>
      <c r="F45" s="77"/>
      <c r="G45" s="76"/>
      <c r="H45" s="54"/>
    </row>
    <row r="46" spans="1:8">
      <c r="A46" s="74"/>
      <c r="B46" s="54"/>
      <c r="C46" s="56"/>
      <c r="D46" s="56"/>
      <c r="E46" s="56">
        <f t="shared" si="0"/>
        <v>0</v>
      </c>
      <c r="F46" s="77"/>
      <c r="G46" s="76"/>
      <c r="H46" s="54"/>
    </row>
    <row r="47" spans="1:8">
      <c r="A47" s="74"/>
      <c r="B47" s="54"/>
      <c r="C47" s="56"/>
      <c r="D47" s="56"/>
      <c r="E47" s="56">
        <f t="shared" si="0"/>
        <v>0</v>
      </c>
      <c r="F47" s="77"/>
      <c r="G47" s="76"/>
      <c r="H47" s="54"/>
    </row>
    <row r="48" spans="1:8">
      <c r="A48" s="74"/>
      <c r="B48" s="54"/>
      <c r="C48" s="56"/>
      <c r="D48" s="56"/>
      <c r="E48" s="56">
        <f t="shared" si="0"/>
        <v>0</v>
      </c>
      <c r="F48" s="77"/>
      <c r="G48" s="76"/>
      <c r="H48" s="54"/>
    </row>
    <row r="49" spans="1:8">
      <c r="A49" s="74"/>
      <c r="B49" s="54"/>
      <c r="C49" s="56"/>
      <c r="D49" s="56"/>
      <c r="E49" s="56">
        <f t="shared" si="0"/>
        <v>0</v>
      </c>
      <c r="F49" s="78"/>
      <c r="G49" s="54"/>
      <c r="H49" s="54"/>
    </row>
    <row r="50" spans="1:8">
      <c r="A50" s="74"/>
      <c r="B50" s="54"/>
      <c r="C50" s="56"/>
      <c r="D50" s="56"/>
      <c r="E50" s="56">
        <f t="shared" si="0"/>
        <v>0</v>
      </c>
      <c r="F50" s="77"/>
      <c r="G50" s="76"/>
      <c r="H50" s="54"/>
    </row>
    <row r="51" spans="1:8">
      <c r="A51" s="74"/>
      <c r="B51" s="54"/>
      <c r="C51" s="56"/>
      <c r="D51" s="56"/>
      <c r="E51" s="56">
        <f t="shared" si="0"/>
        <v>0</v>
      </c>
      <c r="F51" s="77"/>
      <c r="G51" s="76"/>
      <c r="H51" s="54"/>
    </row>
    <row r="52" spans="1:8">
      <c r="A52" s="74"/>
      <c r="B52" s="54"/>
      <c r="C52" s="56"/>
      <c r="D52" s="56"/>
      <c r="E52" s="56">
        <f t="shared" si="0"/>
        <v>0</v>
      </c>
      <c r="F52" s="77"/>
      <c r="G52" s="76"/>
      <c r="H52" s="54"/>
    </row>
    <row r="53" spans="1:8">
      <c r="A53" s="74"/>
      <c r="B53" s="54"/>
      <c r="C53" s="56"/>
      <c r="D53" s="56"/>
      <c r="E53" s="56">
        <f t="shared" si="0"/>
        <v>0</v>
      </c>
      <c r="F53" s="77"/>
      <c r="G53" s="76"/>
      <c r="H53" s="54"/>
    </row>
    <row r="54" spans="1:8">
      <c r="A54" s="74"/>
      <c r="B54" s="54"/>
      <c r="C54" s="56"/>
      <c r="D54" s="56"/>
      <c r="E54" s="56">
        <f t="shared" si="0"/>
        <v>0</v>
      </c>
      <c r="F54" s="77"/>
      <c r="G54" s="76"/>
      <c r="H54" s="54"/>
    </row>
    <row r="55" spans="1:8">
      <c r="A55" s="74"/>
      <c r="B55" s="54"/>
      <c r="C55" s="56"/>
      <c r="D55" s="56"/>
      <c r="E55" s="56">
        <f t="shared" si="0"/>
        <v>0</v>
      </c>
      <c r="F55" s="77"/>
      <c r="G55" s="76"/>
      <c r="H55" s="54"/>
    </row>
    <row r="56" spans="1:8">
      <c r="A56" s="74"/>
      <c r="B56" s="54"/>
      <c r="C56" s="56"/>
      <c r="D56" s="56"/>
      <c r="E56" s="56">
        <f t="shared" si="0"/>
        <v>0</v>
      </c>
      <c r="F56" s="77"/>
      <c r="G56" s="76"/>
      <c r="H56" s="54"/>
    </row>
    <row r="57" spans="1:8">
      <c r="A57" s="74"/>
      <c r="B57" s="54"/>
      <c r="C57" s="56"/>
      <c r="D57" s="56"/>
      <c r="E57" s="56">
        <f t="shared" si="0"/>
        <v>0</v>
      </c>
      <c r="F57" s="77"/>
      <c r="G57" s="76"/>
      <c r="H57" s="54"/>
    </row>
    <row r="58" spans="1:8">
      <c r="A58" s="73"/>
      <c r="B58" s="54"/>
      <c r="C58" s="56"/>
      <c r="D58" s="56"/>
      <c r="E58" s="56">
        <f t="shared" si="0"/>
        <v>0</v>
      </c>
      <c r="F58" s="77"/>
      <c r="G58" s="76"/>
      <c r="H58" s="54"/>
    </row>
    <row r="59" spans="1:8">
      <c r="A59" s="73"/>
      <c r="B59" s="54"/>
      <c r="C59" s="56"/>
      <c r="D59" s="56"/>
      <c r="E59" s="56">
        <f t="shared" si="0"/>
        <v>0</v>
      </c>
      <c r="F59" s="77"/>
      <c r="G59" s="76"/>
      <c r="H59" s="54"/>
    </row>
    <row r="60" spans="1:8" s="71" customFormat="1">
      <c r="A60" s="73"/>
      <c r="B60" s="54"/>
      <c r="C60" s="56"/>
      <c r="D60" s="56"/>
      <c r="E60" s="56">
        <f t="shared" si="0"/>
        <v>0</v>
      </c>
      <c r="F60" s="77"/>
      <c r="G60" s="76"/>
      <c r="H60" s="54"/>
    </row>
    <row r="61" spans="1:8" s="71" customFormat="1">
      <c r="A61" s="73"/>
      <c r="B61" s="54"/>
      <c r="C61" s="56"/>
      <c r="D61" s="56"/>
      <c r="E61" s="56">
        <f t="shared" si="0"/>
        <v>0</v>
      </c>
      <c r="F61" s="77"/>
      <c r="G61" s="76"/>
      <c r="H61" s="54"/>
    </row>
    <row r="62" spans="1:8" s="71" customFormat="1">
      <c r="A62" s="73"/>
      <c r="B62" s="54"/>
      <c r="C62" s="56"/>
      <c r="D62" s="56"/>
      <c r="E62" s="56">
        <f t="shared" si="0"/>
        <v>0</v>
      </c>
      <c r="F62" s="77"/>
      <c r="G62" s="76"/>
      <c r="H62" s="54"/>
    </row>
    <row r="63" spans="1:8" s="71" customFormat="1">
      <c r="A63" s="73"/>
      <c r="B63" s="54"/>
      <c r="C63" s="56"/>
      <c r="D63" s="56"/>
      <c r="E63" s="56">
        <f t="shared" si="0"/>
        <v>0</v>
      </c>
      <c r="F63" s="77"/>
      <c r="G63" s="76"/>
      <c r="H63" s="54"/>
    </row>
    <row r="64" spans="1:8" s="71" customFormat="1">
      <c r="A64" s="73"/>
      <c r="B64" s="54"/>
      <c r="C64" s="56"/>
      <c r="D64" s="56"/>
      <c r="E64" s="56">
        <f t="shared" si="0"/>
        <v>0</v>
      </c>
      <c r="F64" s="77"/>
      <c r="G64" s="76"/>
      <c r="H64" s="54"/>
    </row>
    <row r="65" spans="1:8" s="71" customFormat="1">
      <c r="A65" s="73"/>
      <c r="B65" s="54"/>
      <c r="C65" s="56"/>
      <c r="D65" s="56"/>
      <c r="E65" s="56">
        <f t="shared" si="0"/>
        <v>0</v>
      </c>
      <c r="F65" s="77"/>
      <c r="G65" s="76"/>
      <c r="H65" s="54"/>
    </row>
    <row r="66" spans="1:8" s="71" customFormat="1">
      <c r="A66" s="73"/>
      <c r="B66" s="54"/>
      <c r="C66" s="56"/>
      <c r="D66" s="56"/>
      <c r="E66" s="56">
        <f t="shared" si="0"/>
        <v>0</v>
      </c>
      <c r="F66" s="77"/>
      <c r="G66" s="76"/>
      <c r="H66" s="54"/>
    </row>
    <row r="67" spans="1:8" s="71" customFormat="1">
      <c r="A67" s="73"/>
      <c r="B67" s="54"/>
      <c r="C67" s="56"/>
      <c r="D67" s="56"/>
      <c r="E67" s="56">
        <f t="shared" si="0"/>
        <v>0</v>
      </c>
      <c r="F67" s="77"/>
      <c r="G67" s="76"/>
      <c r="H67" s="54"/>
    </row>
    <row r="68" spans="1:8" s="71" customFormat="1">
      <c r="A68" s="73"/>
      <c r="B68" s="54"/>
      <c r="C68" s="56"/>
      <c r="D68" s="56"/>
      <c r="E68" s="56">
        <f t="shared" si="0"/>
        <v>0</v>
      </c>
      <c r="F68" s="77"/>
      <c r="G68" s="76"/>
      <c r="H68" s="54"/>
    </row>
    <row r="69" spans="1:8" s="71" customFormat="1">
      <c r="A69" s="73"/>
      <c r="B69" s="54"/>
      <c r="C69" s="56"/>
      <c r="D69" s="56"/>
      <c r="E69" s="56">
        <f t="shared" si="0"/>
        <v>0</v>
      </c>
      <c r="F69" s="77"/>
      <c r="G69" s="76"/>
      <c r="H69" s="54"/>
    </row>
    <row r="70" spans="1:8">
      <c r="A70" s="73"/>
      <c r="B70" s="54"/>
      <c r="C70" s="56"/>
      <c r="D70" s="56"/>
      <c r="E70" s="56">
        <f t="shared" si="0"/>
        <v>0</v>
      </c>
      <c r="F70" s="75"/>
      <c r="G70" s="76"/>
      <c r="H70" s="54"/>
    </row>
    <row r="71" spans="1:8">
      <c r="A71" s="74"/>
      <c r="B71" s="54"/>
      <c r="C71" s="56"/>
      <c r="D71" s="56"/>
      <c r="E71" s="56">
        <f t="shared" si="0"/>
        <v>0</v>
      </c>
      <c r="F71" s="77"/>
      <c r="G71" s="76"/>
      <c r="H71" s="54"/>
    </row>
    <row r="72" spans="1:8">
      <c r="A72" s="74"/>
      <c r="B72" s="54"/>
      <c r="C72" s="56"/>
      <c r="D72" s="56"/>
      <c r="E72" s="56">
        <f t="shared" ref="E72:E135" si="1">E71-C72+D72</f>
        <v>0</v>
      </c>
      <c r="F72" s="77"/>
      <c r="G72" s="76"/>
      <c r="H72" s="54"/>
    </row>
    <row r="73" spans="1:8" s="72" customFormat="1">
      <c r="A73" s="74"/>
      <c r="B73" s="54"/>
      <c r="C73" s="56"/>
      <c r="D73" s="56"/>
      <c r="E73" s="56">
        <f t="shared" si="1"/>
        <v>0</v>
      </c>
      <c r="F73" s="77"/>
      <c r="G73" s="76"/>
      <c r="H73" s="54"/>
    </row>
    <row r="74" spans="1:8">
      <c r="A74" s="74"/>
      <c r="B74" s="54"/>
      <c r="C74" s="56"/>
      <c r="D74" s="56"/>
      <c r="E74" s="56">
        <f t="shared" si="1"/>
        <v>0</v>
      </c>
      <c r="F74" s="77"/>
      <c r="G74" s="76"/>
      <c r="H74" s="54"/>
    </row>
    <row r="75" spans="1:8">
      <c r="A75" s="74"/>
      <c r="B75" s="54"/>
      <c r="C75" s="56"/>
      <c r="D75" s="56"/>
      <c r="E75" s="56">
        <f t="shared" si="1"/>
        <v>0</v>
      </c>
      <c r="F75" s="77"/>
      <c r="G75" s="76"/>
      <c r="H75" s="54"/>
    </row>
    <row r="76" spans="1:8">
      <c r="A76" s="74"/>
      <c r="B76" s="54"/>
      <c r="C76" s="56"/>
      <c r="D76" s="56"/>
      <c r="E76" s="56">
        <f t="shared" si="1"/>
        <v>0</v>
      </c>
      <c r="F76" s="77"/>
      <c r="G76" s="76"/>
      <c r="H76" s="54"/>
    </row>
    <row r="77" spans="1:8">
      <c r="A77" s="74"/>
      <c r="B77" s="54"/>
      <c r="C77" s="56"/>
      <c r="D77" s="56"/>
      <c r="E77" s="56">
        <f t="shared" si="1"/>
        <v>0</v>
      </c>
      <c r="F77" s="77"/>
      <c r="G77" s="76"/>
      <c r="H77" s="54"/>
    </row>
    <row r="78" spans="1:8">
      <c r="A78" s="74"/>
      <c r="B78" s="54"/>
      <c r="C78" s="56"/>
      <c r="D78" s="56"/>
      <c r="E78" s="56">
        <f t="shared" si="1"/>
        <v>0</v>
      </c>
      <c r="F78" s="77"/>
      <c r="G78" s="76"/>
      <c r="H78" s="54"/>
    </row>
    <row r="79" spans="1:8">
      <c r="A79" s="74"/>
      <c r="B79" s="54"/>
      <c r="C79" s="56"/>
      <c r="D79" s="56"/>
      <c r="E79" s="56">
        <f t="shared" si="1"/>
        <v>0</v>
      </c>
      <c r="F79" s="77"/>
      <c r="G79" s="76"/>
      <c r="H79" s="54"/>
    </row>
    <row r="80" spans="1:8">
      <c r="A80" s="74"/>
      <c r="B80" s="54"/>
      <c r="C80" s="56"/>
      <c r="D80" s="56"/>
      <c r="E80" s="56">
        <f t="shared" si="1"/>
        <v>0</v>
      </c>
      <c r="F80" s="77"/>
      <c r="G80" s="76"/>
      <c r="H80" s="54"/>
    </row>
    <row r="81" spans="1:8">
      <c r="A81" s="74"/>
      <c r="B81" s="54"/>
      <c r="C81" s="56"/>
      <c r="D81" s="56"/>
      <c r="E81" s="56">
        <f t="shared" si="1"/>
        <v>0</v>
      </c>
      <c r="F81" s="77"/>
      <c r="G81" s="76"/>
      <c r="H81" s="54"/>
    </row>
    <row r="82" spans="1:8">
      <c r="A82" s="74"/>
      <c r="B82" s="54"/>
      <c r="C82" s="56"/>
      <c r="D82" s="56"/>
      <c r="E82" s="56">
        <f t="shared" si="1"/>
        <v>0</v>
      </c>
      <c r="F82" s="77"/>
      <c r="G82" s="76"/>
      <c r="H82" s="54"/>
    </row>
    <row r="83" spans="1:8">
      <c r="A83" s="74"/>
      <c r="B83" s="54"/>
      <c r="C83" s="56"/>
      <c r="D83" s="56"/>
      <c r="E83" s="56">
        <f t="shared" si="1"/>
        <v>0</v>
      </c>
      <c r="F83" s="77"/>
      <c r="G83" s="76"/>
      <c r="H83" s="54"/>
    </row>
    <row r="84" spans="1:8">
      <c r="A84" s="74"/>
      <c r="B84" s="54"/>
      <c r="C84" s="56"/>
      <c r="D84" s="56"/>
      <c r="E84" s="56">
        <f t="shared" si="1"/>
        <v>0</v>
      </c>
      <c r="F84" s="77"/>
      <c r="G84" s="76"/>
      <c r="H84" s="54"/>
    </row>
    <row r="85" spans="1:8">
      <c r="A85" s="74"/>
      <c r="B85" s="54"/>
      <c r="C85" s="56"/>
      <c r="D85" s="56"/>
      <c r="E85" s="56">
        <f t="shared" si="1"/>
        <v>0</v>
      </c>
      <c r="F85" s="77"/>
      <c r="G85" s="76"/>
      <c r="H85" s="54"/>
    </row>
    <row r="86" spans="1:8">
      <c r="A86" s="74"/>
      <c r="B86" s="54"/>
      <c r="C86" s="56"/>
      <c r="D86" s="56"/>
      <c r="E86" s="56">
        <f t="shared" si="1"/>
        <v>0</v>
      </c>
      <c r="F86" s="77"/>
      <c r="G86" s="76"/>
      <c r="H86" s="54"/>
    </row>
    <row r="87" spans="1:8">
      <c r="A87" s="74"/>
      <c r="B87" s="54"/>
      <c r="C87" s="56"/>
      <c r="D87" s="56"/>
      <c r="E87" s="56">
        <f t="shared" si="1"/>
        <v>0</v>
      </c>
      <c r="F87" s="77"/>
      <c r="G87" s="76"/>
      <c r="H87" s="54"/>
    </row>
    <row r="88" spans="1:8">
      <c r="A88" s="74"/>
      <c r="B88" s="54"/>
      <c r="C88" s="56"/>
      <c r="D88" s="56"/>
      <c r="E88" s="56">
        <f t="shared" si="1"/>
        <v>0</v>
      </c>
      <c r="F88" s="77"/>
      <c r="G88" s="76"/>
      <c r="H88" s="54"/>
    </row>
    <row r="89" spans="1:8">
      <c r="A89" s="74"/>
      <c r="B89" s="54"/>
      <c r="C89" s="56"/>
      <c r="D89" s="56"/>
      <c r="E89" s="56">
        <f t="shared" si="1"/>
        <v>0</v>
      </c>
      <c r="F89" s="77"/>
      <c r="G89" s="76"/>
      <c r="H89" s="54"/>
    </row>
    <row r="90" spans="1:8">
      <c r="A90" s="74"/>
      <c r="B90" s="54"/>
      <c r="C90" s="56"/>
      <c r="D90" s="56"/>
      <c r="E90" s="56">
        <f t="shared" si="1"/>
        <v>0</v>
      </c>
      <c r="F90" s="77"/>
      <c r="G90" s="76"/>
      <c r="H90" s="54"/>
    </row>
    <row r="91" spans="1:8">
      <c r="A91" s="74"/>
      <c r="B91" s="54"/>
      <c r="C91" s="56"/>
      <c r="D91" s="56"/>
      <c r="E91" s="56">
        <f t="shared" si="1"/>
        <v>0</v>
      </c>
      <c r="F91" s="77"/>
      <c r="G91" s="76"/>
      <c r="H91" s="54"/>
    </row>
    <row r="92" spans="1:8">
      <c r="A92" s="74"/>
      <c r="B92" s="54"/>
      <c r="C92" s="56"/>
      <c r="D92" s="56"/>
      <c r="E92" s="56">
        <f t="shared" si="1"/>
        <v>0</v>
      </c>
      <c r="F92" s="77"/>
      <c r="G92" s="76"/>
      <c r="H92" s="54"/>
    </row>
    <row r="93" spans="1:8">
      <c r="A93" s="74"/>
      <c r="B93" s="54"/>
      <c r="C93" s="56"/>
      <c r="D93" s="56"/>
      <c r="E93" s="56">
        <f t="shared" si="1"/>
        <v>0</v>
      </c>
      <c r="F93" s="78"/>
      <c r="G93" s="76"/>
      <c r="H93" s="54"/>
    </row>
    <row r="94" spans="1:8">
      <c r="A94" s="74"/>
      <c r="B94" s="54"/>
      <c r="C94" s="56"/>
      <c r="D94" s="56"/>
      <c r="E94" s="56">
        <f t="shared" si="1"/>
        <v>0</v>
      </c>
      <c r="F94" s="77"/>
      <c r="G94" s="81"/>
      <c r="H94" s="54"/>
    </row>
    <row r="95" spans="1:8">
      <c r="A95" s="74"/>
      <c r="B95" s="54"/>
      <c r="C95" s="56"/>
      <c r="D95" s="56"/>
      <c r="E95" s="56">
        <f t="shared" si="1"/>
        <v>0</v>
      </c>
      <c r="F95" s="77"/>
      <c r="G95" s="76"/>
      <c r="H95" s="54"/>
    </row>
    <row r="96" spans="1:8">
      <c r="A96" s="74"/>
      <c r="B96" s="54"/>
      <c r="C96" s="56"/>
      <c r="D96" s="56"/>
      <c r="E96" s="56">
        <f t="shared" si="1"/>
        <v>0</v>
      </c>
      <c r="F96" s="77"/>
      <c r="G96" s="76"/>
      <c r="H96" s="54"/>
    </row>
    <row r="97" spans="1:8">
      <c r="A97" s="74"/>
      <c r="B97" s="54"/>
      <c r="C97" s="56"/>
      <c r="D97" s="56"/>
      <c r="E97" s="56">
        <f t="shared" si="1"/>
        <v>0</v>
      </c>
      <c r="F97" s="77"/>
      <c r="G97" s="69"/>
      <c r="H97" s="82"/>
    </row>
    <row r="98" spans="1:8">
      <c r="A98" s="74"/>
      <c r="B98" s="54"/>
      <c r="C98" s="56"/>
      <c r="D98" s="56"/>
      <c r="E98" s="56">
        <f t="shared" si="1"/>
        <v>0</v>
      </c>
      <c r="F98" s="77"/>
      <c r="G98" s="76"/>
      <c r="H98" s="82"/>
    </row>
    <row r="99" spans="1:8">
      <c r="A99" s="74"/>
      <c r="B99" s="54"/>
      <c r="C99" s="56"/>
      <c r="D99" s="56"/>
      <c r="E99" s="56">
        <f t="shared" si="1"/>
        <v>0</v>
      </c>
      <c r="F99" s="77"/>
      <c r="G99" s="76"/>
      <c r="H99" s="54"/>
    </row>
    <row r="100" spans="1:8" s="71" customFormat="1">
      <c r="A100" s="74"/>
      <c r="B100" s="54"/>
      <c r="C100" s="56"/>
      <c r="D100" s="56"/>
      <c r="E100" s="56">
        <f t="shared" si="1"/>
        <v>0</v>
      </c>
      <c r="F100" s="77"/>
      <c r="G100" s="69"/>
      <c r="H100" s="82"/>
    </row>
    <row r="101" spans="1:8">
      <c r="A101" s="74"/>
      <c r="B101" s="54"/>
      <c r="C101" s="56"/>
      <c r="D101" s="56"/>
      <c r="E101" s="56">
        <f t="shared" si="1"/>
        <v>0</v>
      </c>
      <c r="F101" s="77"/>
      <c r="G101" s="76"/>
      <c r="H101" s="54"/>
    </row>
    <row r="102" spans="1:8">
      <c r="A102" s="74"/>
      <c r="B102" s="54"/>
      <c r="C102" s="56"/>
      <c r="D102" s="56"/>
      <c r="E102" s="56">
        <f t="shared" si="1"/>
        <v>0</v>
      </c>
      <c r="F102" s="77"/>
      <c r="G102" s="76"/>
      <c r="H102" s="54"/>
    </row>
    <row r="103" spans="1:8" s="71" customFormat="1">
      <c r="A103" s="74"/>
      <c r="B103" s="54"/>
      <c r="C103" s="56"/>
      <c r="D103" s="56"/>
      <c r="E103" s="56">
        <f t="shared" si="1"/>
        <v>0</v>
      </c>
      <c r="F103" s="77"/>
      <c r="G103" s="69"/>
      <c r="H103" s="82"/>
    </row>
    <row r="104" spans="1:8">
      <c r="A104" s="74"/>
      <c r="B104" s="54"/>
      <c r="C104" s="56"/>
      <c r="D104" s="56"/>
      <c r="E104" s="56">
        <f t="shared" si="1"/>
        <v>0</v>
      </c>
      <c r="F104" s="77"/>
      <c r="G104" s="76"/>
      <c r="H104" s="54"/>
    </row>
    <row r="105" spans="1:8">
      <c r="A105" s="74"/>
      <c r="B105" s="54"/>
      <c r="C105" s="56"/>
      <c r="D105" s="56"/>
      <c r="E105" s="56">
        <f t="shared" si="1"/>
        <v>0</v>
      </c>
      <c r="F105" s="77"/>
      <c r="G105" s="76"/>
      <c r="H105" s="54"/>
    </row>
    <row r="106" spans="1:8">
      <c r="A106" s="74"/>
      <c r="B106" s="54"/>
      <c r="C106" s="56"/>
      <c r="D106" s="56"/>
      <c r="E106" s="56">
        <f t="shared" si="1"/>
        <v>0</v>
      </c>
      <c r="F106" s="77"/>
      <c r="G106" s="76"/>
      <c r="H106" s="54"/>
    </row>
    <row r="107" spans="1:8" s="71" customFormat="1">
      <c r="A107" s="74"/>
      <c r="B107" s="54"/>
      <c r="C107" s="56"/>
      <c r="D107" s="56"/>
      <c r="E107" s="56">
        <f t="shared" si="1"/>
        <v>0</v>
      </c>
      <c r="F107" s="77"/>
      <c r="G107" s="76"/>
      <c r="H107" s="54"/>
    </row>
    <row r="108" spans="1:8" s="71" customFormat="1">
      <c r="A108" s="74"/>
      <c r="B108" s="54"/>
      <c r="C108" s="56"/>
      <c r="D108" s="56"/>
      <c r="E108" s="56">
        <f t="shared" si="1"/>
        <v>0</v>
      </c>
      <c r="F108" s="77"/>
      <c r="G108" s="76"/>
      <c r="H108" s="54"/>
    </row>
    <row r="109" spans="1:8" s="71" customFormat="1">
      <c r="A109" s="74"/>
      <c r="B109" s="54"/>
      <c r="C109" s="56"/>
      <c r="D109" s="56"/>
      <c r="E109" s="56">
        <f t="shared" si="1"/>
        <v>0</v>
      </c>
      <c r="F109" s="77"/>
      <c r="G109" s="76"/>
      <c r="H109" s="54"/>
    </row>
    <row r="110" spans="1:8">
      <c r="A110" s="74"/>
      <c r="B110" s="54"/>
      <c r="C110" s="56"/>
      <c r="D110" s="56"/>
      <c r="E110" s="56">
        <f t="shared" si="1"/>
        <v>0</v>
      </c>
      <c r="F110" s="77"/>
      <c r="G110" s="76"/>
      <c r="H110" s="54"/>
    </row>
    <row r="111" spans="1:8" s="71" customFormat="1">
      <c r="A111" s="74"/>
      <c r="B111" s="54"/>
      <c r="C111" s="56"/>
      <c r="D111" s="56"/>
      <c r="E111" s="56">
        <f t="shared" si="1"/>
        <v>0</v>
      </c>
      <c r="F111" s="77"/>
      <c r="G111" s="76"/>
      <c r="H111" s="54"/>
    </row>
    <row r="112" spans="1:8">
      <c r="A112" s="74"/>
      <c r="B112" s="54"/>
      <c r="C112" s="56"/>
      <c r="D112" s="56"/>
      <c r="E112" s="56">
        <f t="shared" si="1"/>
        <v>0</v>
      </c>
      <c r="F112" s="77"/>
      <c r="G112" s="76"/>
      <c r="H112" s="54"/>
    </row>
    <row r="113" spans="1:8">
      <c r="A113" s="74"/>
      <c r="B113" s="54"/>
      <c r="C113" s="56"/>
      <c r="D113" s="56"/>
      <c r="E113" s="56">
        <f t="shared" si="1"/>
        <v>0</v>
      </c>
      <c r="F113" s="77"/>
      <c r="G113" s="76"/>
      <c r="H113" s="54"/>
    </row>
    <row r="114" spans="1:8">
      <c r="A114" s="74"/>
      <c r="B114" s="54"/>
      <c r="C114" s="56"/>
      <c r="D114" s="56"/>
      <c r="E114" s="56">
        <f t="shared" si="1"/>
        <v>0</v>
      </c>
      <c r="F114" s="77"/>
      <c r="G114" s="76"/>
      <c r="H114" s="54"/>
    </row>
    <row r="115" spans="1:8">
      <c r="A115" s="74"/>
      <c r="B115" s="54"/>
      <c r="C115" s="56"/>
      <c r="D115" s="56"/>
      <c r="E115" s="56">
        <f t="shared" si="1"/>
        <v>0</v>
      </c>
      <c r="F115" s="77"/>
      <c r="G115" s="76"/>
      <c r="H115" s="54"/>
    </row>
    <row r="116" spans="1:8">
      <c r="A116" s="74"/>
      <c r="B116" s="54"/>
      <c r="C116" s="56"/>
      <c r="D116" s="56"/>
      <c r="E116" s="56">
        <f t="shared" si="1"/>
        <v>0</v>
      </c>
      <c r="F116" s="77"/>
      <c r="G116" s="76"/>
      <c r="H116" s="54"/>
    </row>
    <row r="117" spans="1:8">
      <c r="A117" s="74"/>
      <c r="B117" s="54"/>
      <c r="C117" s="56"/>
      <c r="D117" s="56"/>
      <c r="E117" s="56">
        <f t="shared" si="1"/>
        <v>0</v>
      </c>
      <c r="F117" s="77"/>
      <c r="G117" s="76"/>
      <c r="H117" s="54"/>
    </row>
    <row r="118" spans="1:8">
      <c r="A118" s="74"/>
      <c r="B118" s="54"/>
      <c r="C118" s="56"/>
      <c r="D118" s="56"/>
      <c r="E118" s="56">
        <f t="shared" si="1"/>
        <v>0</v>
      </c>
      <c r="F118" s="77"/>
      <c r="G118" s="76"/>
      <c r="H118" s="54"/>
    </row>
    <row r="119" spans="1:8">
      <c r="A119" s="74"/>
      <c r="B119" s="54"/>
      <c r="C119" s="56"/>
      <c r="D119" s="56"/>
      <c r="E119" s="56">
        <f t="shared" si="1"/>
        <v>0</v>
      </c>
      <c r="F119" s="77"/>
      <c r="G119" s="69"/>
      <c r="H119" s="54"/>
    </row>
    <row r="120" spans="1:8">
      <c r="A120" s="74"/>
      <c r="B120" s="54"/>
      <c r="C120" s="56"/>
      <c r="D120" s="56"/>
      <c r="E120" s="56">
        <f t="shared" si="1"/>
        <v>0</v>
      </c>
      <c r="F120" s="77"/>
      <c r="G120" s="69"/>
      <c r="H120" s="54"/>
    </row>
    <row r="121" spans="1:8">
      <c r="A121" s="74"/>
      <c r="B121" s="54"/>
      <c r="C121" s="56"/>
      <c r="D121" s="56"/>
      <c r="E121" s="56">
        <f t="shared" si="1"/>
        <v>0</v>
      </c>
      <c r="F121" s="77"/>
      <c r="G121" s="69"/>
      <c r="H121" s="54"/>
    </row>
    <row r="122" spans="1:8">
      <c r="A122" s="74"/>
      <c r="B122" s="54"/>
      <c r="C122" s="56"/>
      <c r="D122" s="56"/>
      <c r="E122" s="56">
        <f t="shared" si="1"/>
        <v>0</v>
      </c>
      <c r="F122" s="77"/>
      <c r="G122" s="76"/>
      <c r="H122" s="54"/>
    </row>
    <row r="123" spans="1:8">
      <c r="A123" s="83"/>
      <c r="B123" s="54"/>
      <c r="C123" s="56"/>
      <c r="D123" s="84"/>
      <c r="E123" s="56">
        <f t="shared" si="1"/>
        <v>0</v>
      </c>
      <c r="F123" s="77"/>
      <c r="G123" s="76"/>
      <c r="H123" s="54"/>
    </row>
    <row r="124" spans="1:8">
      <c r="A124" s="74"/>
      <c r="B124" s="54"/>
      <c r="C124" s="56"/>
      <c r="D124" s="56"/>
      <c r="E124" s="56">
        <f t="shared" si="1"/>
        <v>0</v>
      </c>
      <c r="F124" s="77"/>
      <c r="G124" s="69"/>
      <c r="H124" s="54"/>
    </row>
    <row r="125" spans="1:8">
      <c r="A125" s="74"/>
      <c r="B125" s="54"/>
      <c r="C125" s="56"/>
      <c r="D125" s="56"/>
      <c r="E125" s="56">
        <f t="shared" si="1"/>
        <v>0</v>
      </c>
      <c r="F125" s="77"/>
      <c r="G125" s="76"/>
      <c r="H125" s="54"/>
    </row>
    <row r="126" spans="1:8">
      <c r="A126" s="74"/>
      <c r="B126" s="54"/>
      <c r="C126" s="56"/>
      <c r="D126" s="56"/>
      <c r="E126" s="56">
        <f t="shared" si="1"/>
        <v>0</v>
      </c>
      <c r="F126" s="77"/>
      <c r="G126" s="76"/>
      <c r="H126" s="54"/>
    </row>
    <row r="127" spans="1:8">
      <c r="A127" s="74"/>
      <c r="B127" s="54"/>
      <c r="C127" s="56"/>
      <c r="D127" s="56"/>
      <c r="E127" s="56">
        <f t="shared" si="1"/>
        <v>0</v>
      </c>
      <c r="F127" s="77"/>
      <c r="G127" s="76"/>
      <c r="H127" s="54"/>
    </row>
    <row r="128" spans="1:8">
      <c r="A128" s="74"/>
      <c r="B128" s="54"/>
      <c r="C128" s="56"/>
      <c r="D128" s="56"/>
      <c r="E128" s="56">
        <f t="shared" si="1"/>
        <v>0</v>
      </c>
      <c r="F128" s="77"/>
      <c r="G128" s="76"/>
      <c r="H128" s="54"/>
    </row>
    <row r="129" spans="1:8">
      <c r="A129" s="83"/>
      <c r="B129" s="54"/>
      <c r="C129" s="56"/>
      <c r="D129" s="56"/>
      <c r="E129" s="56">
        <f t="shared" si="1"/>
        <v>0</v>
      </c>
      <c r="F129" s="77"/>
      <c r="G129" s="76"/>
      <c r="H129" s="54"/>
    </row>
    <row r="130" spans="1:8">
      <c r="A130" s="74"/>
      <c r="B130" s="54"/>
      <c r="C130" s="56"/>
      <c r="D130" s="56"/>
      <c r="E130" s="56">
        <f t="shared" si="1"/>
        <v>0</v>
      </c>
      <c r="F130" s="77"/>
      <c r="G130" s="76"/>
      <c r="H130" s="54"/>
    </row>
    <row r="131" spans="1:8" s="71" customFormat="1">
      <c r="A131" s="74"/>
      <c r="B131" s="54"/>
      <c r="C131" s="56"/>
      <c r="D131" s="56"/>
      <c r="E131" s="56">
        <f t="shared" si="1"/>
        <v>0</v>
      </c>
      <c r="F131" s="77"/>
      <c r="G131" s="76"/>
      <c r="H131" s="54"/>
    </row>
    <row r="132" spans="1:8">
      <c r="A132" s="74"/>
      <c r="B132" s="54"/>
      <c r="C132" s="56"/>
      <c r="D132" s="56"/>
      <c r="E132" s="56">
        <f t="shared" si="1"/>
        <v>0</v>
      </c>
      <c r="F132" s="77"/>
      <c r="G132" s="76"/>
      <c r="H132" s="54"/>
    </row>
    <row r="133" spans="1:8">
      <c r="A133" s="74"/>
      <c r="B133" s="54"/>
      <c r="C133" s="56"/>
      <c r="D133" s="56"/>
      <c r="E133" s="56">
        <f t="shared" si="1"/>
        <v>0</v>
      </c>
      <c r="F133" s="77"/>
      <c r="G133" s="76"/>
      <c r="H133" s="54"/>
    </row>
    <row r="134" spans="1:8">
      <c r="A134" s="74"/>
      <c r="B134" s="54"/>
      <c r="C134" s="56"/>
      <c r="D134" s="56"/>
      <c r="E134" s="56">
        <f t="shared" si="1"/>
        <v>0</v>
      </c>
      <c r="F134" s="77"/>
      <c r="G134" s="76"/>
      <c r="H134" s="54"/>
    </row>
    <row r="135" spans="1:8">
      <c r="A135" s="74"/>
      <c r="B135" s="54"/>
      <c r="C135" s="56"/>
      <c r="D135" s="56"/>
      <c r="E135" s="56">
        <f t="shared" si="1"/>
        <v>0</v>
      </c>
      <c r="F135" s="77"/>
      <c r="G135" s="76"/>
      <c r="H135" s="54"/>
    </row>
    <row r="136" spans="1:8">
      <c r="A136" s="74"/>
      <c r="B136" s="54"/>
      <c r="C136" s="56"/>
      <c r="D136" s="56"/>
      <c r="E136" s="56">
        <f t="shared" ref="E136:E163" si="2">E135-C136+D136</f>
        <v>0</v>
      </c>
      <c r="F136" s="77"/>
      <c r="G136" s="76"/>
      <c r="H136" s="54"/>
    </row>
    <row r="137" spans="1:8">
      <c r="A137" s="74"/>
      <c r="B137" s="54"/>
      <c r="C137" s="56"/>
      <c r="D137" s="56"/>
      <c r="E137" s="56">
        <f t="shared" si="2"/>
        <v>0</v>
      </c>
      <c r="F137" s="77"/>
      <c r="G137" s="76"/>
      <c r="H137" s="82"/>
    </row>
    <row r="138" spans="1:8">
      <c r="A138" s="74"/>
      <c r="B138" s="54"/>
      <c r="C138" s="56"/>
      <c r="D138" s="56"/>
      <c r="E138" s="56">
        <f t="shared" si="2"/>
        <v>0</v>
      </c>
      <c r="F138" s="77"/>
      <c r="G138" s="76"/>
      <c r="H138" s="54"/>
    </row>
    <row r="139" spans="1:8">
      <c r="A139" s="74"/>
      <c r="B139" s="54"/>
      <c r="C139" s="56"/>
      <c r="D139" s="56"/>
      <c r="E139" s="56">
        <f t="shared" si="2"/>
        <v>0</v>
      </c>
      <c r="F139" s="77"/>
      <c r="G139" s="76"/>
      <c r="H139" s="54"/>
    </row>
    <row r="140" spans="1:8">
      <c r="A140" s="74"/>
      <c r="B140" s="54"/>
      <c r="C140" s="56"/>
      <c r="D140" s="56"/>
      <c r="E140" s="56">
        <f t="shared" si="2"/>
        <v>0</v>
      </c>
      <c r="F140" s="77"/>
      <c r="G140" s="76"/>
      <c r="H140" s="54"/>
    </row>
    <row r="141" spans="1:8">
      <c r="A141" s="74"/>
      <c r="B141" s="54"/>
      <c r="C141" s="56"/>
      <c r="D141" s="56"/>
      <c r="E141" s="56">
        <f t="shared" si="2"/>
        <v>0</v>
      </c>
      <c r="F141" s="77"/>
      <c r="G141" s="76"/>
      <c r="H141" s="54"/>
    </row>
    <row r="142" spans="1:8">
      <c r="A142" s="74"/>
      <c r="B142" s="54"/>
      <c r="C142" s="56"/>
      <c r="D142" s="56"/>
      <c r="E142" s="56">
        <f t="shared" si="2"/>
        <v>0</v>
      </c>
      <c r="F142" s="77"/>
      <c r="G142" s="76"/>
      <c r="H142" s="54"/>
    </row>
    <row r="143" spans="1:8">
      <c r="A143" s="74"/>
      <c r="B143" s="54"/>
      <c r="C143" s="56"/>
      <c r="D143" s="56"/>
      <c r="E143" s="56">
        <f t="shared" si="2"/>
        <v>0</v>
      </c>
      <c r="F143" s="77"/>
      <c r="G143" s="76"/>
      <c r="H143" s="54"/>
    </row>
    <row r="144" spans="1:8">
      <c r="A144" s="74"/>
      <c r="B144" s="54"/>
      <c r="C144" s="56"/>
      <c r="D144" s="56"/>
      <c r="E144" s="56">
        <f t="shared" si="2"/>
        <v>0</v>
      </c>
      <c r="F144" s="77"/>
      <c r="G144" s="76"/>
      <c r="H144" s="54"/>
    </row>
    <row r="145" spans="1:8">
      <c r="A145" s="74"/>
      <c r="B145" s="54"/>
      <c r="C145" s="56"/>
      <c r="D145" s="56"/>
      <c r="E145" s="56">
        <f t="shared" si="2"/>
        <v>0</v>
      </c>
      <c r="F145" s="77"/>
      <c r="G145" s="76"/>
      <c r="H145" s="54"/>
    </row>
    <row r="146" spans="1:8">
      <c r="A146" s="74"/>
      <c r="B146" s="54"/>
      <c r="C146" s="56"/>
      <c r="D146" s="56"/>
      <c r="E146" s="56">
        <f t="shared" si="2"/>
        <v>0</v>
      </c>
      <c r="F146" s="77"/>
      <c r="G146" s="76"/>
      <c r="H146" s="54"/>
    </row>
    <row r="147" spans="1:8">
      <c r="A147" s="74"/>
      <c r="B147" s="54"/>
      <c r="C147" s="56"/>
      <c r="D147" s="56"/>
      <c r="E147" s="56">
        <f t="shared" si="2"/>
        <v>0</v>
      </c>
      <c r="F147" s="77"/>
      <c r="G147" s="76"/>
      <c r="H147" s="54"/>
    </row>
    <row r="148" spans="1:8">
      <c r="A148" s="74"/>
      <c r="B148" s="54"/>
      <c r="C148" s="56"/>
      <c r="D148" s="56"/>
      <c r="E148" s="56">
        <f t="shared" si="2"/>
        <v>0</v>
      </c>
      <c r="F148" s="77"/>
      <c r="G148" s="76"/>
      <c r="H148" s="54"/>
    </row>
    <row r="149" spans="1:8">
      <c r="A149" s="74"/>
      <c r="B149" s="54"/>
      <c r="C149" s="56"/>
      <c r="D149" s="56"/>
      <c r="E149" s="56">
        <f t="shared" si="2"/>
        <v>0</v>
      </c>
      <c r="F149" s="77"/>
      <c r="G149" s="76"/>
      <c r="H149" s="54"/>
    </row>
    <row r="150" spans="1:8" s="71" customFormat="1">
      <c r="A150" s="74"/>
      <c r="B150" s="54"/>
      <c r="C150" s="56"/>
      <c r="D150" s="56"/>
      <c r="E150" s="56">
        <f t="shared" si="2"/>
        <v>0</v>
      </c>
      <c r="F150" s="77"/>
      <c r="G150" s="76"/>
      <c r="H150" s="54"/>
    </row>
    <row r="151" spans="1:8">
      <c r="A151" s="74"/>
      <c r="B151" s="54"/>
      <c r="C151" s="56"/>
      <c r="D151" s="56"/>
      <c r="E151" s="56">
        <f t="shared" si="2"/>
        <v>0</v>
      </c>
      <c r="F151" s="78"/>
      <c r="G151" s="76"/>
      <c r="H151" s="54"/>
    </row>
    <row r="152" spans="1:8">
      <c r="A152" s="74"/>
      <c r="B152" s="54"/>
      <c r="C152" s="56"/>
      <c r="D152" s="56"/>
      <c r="E152" s="56">
        <f t="shared" si="2"/>
        <v>0</v>
      </c>
      <c r="F152" s="77"/>
      <c r="G152" s="54"/>
      <c r="H152" s="54"/>
    </row>
    <row r="153" spans="1:8">
      <c r="A153" s="74"/>
      <c r="B153" s="54"/>
      <c r="C153" s="56"/>
      <c r="D153" s="56"/>
      <c r="E153" s="56">
        <f t="shared" si="2"/>
        <v>0</v>
      </c>
      <c r="F153" s="77"/>
      <c r="G153" s="76"/>
      <c r="H153" s="54"/>
    </row>
    <row r="154" spans="1:8">
      <c r="A154" s="74"/>
      <c r="B154" s="54"/>
      <c r="C154" s="56"/>
      <c r="D154" s="56"/>
      <c r="E154" s="56">
        <f t="shared" si="2"/>
        <v>0</v>
      </c>
      <c r="F154" s="77"/>
      <c r="G154" s="76"/>
      <c r="H154" s="54"/>
    </row>
    <row r="155" spans="1:8">
      <c r="A155" s="74"/>
      <c r="B155" s="54"/>
      <c r="C155" s="56"/>
      <c r="D155" s="56"/>
      <c r="E155" s="56">
        <f t="shared" si="2"/>
        <v>0</v>
      </c>
      <c r="F155" s="77"/>
      <c r="G155" s="76"/>
      <c r="H155" s="54"/>
    </row>
    <row r="156" spans="1:8">
      <c r="A156" s="74"/>
      <c r="B156" s="54"/>
      <c r="C156" s="56"/>
      <c r="D156" s="56"/>
      <c r="E156" s="56">
        <f t="shared" si="2"/>
        <v>0</v>
      </c>
      <c r="F156" s="77"/>
      <c r="G156" s="76"/>
      <c r="H156" s="54"/>
    </row>
    <row r="157" spans="1:8">
      <c r="A157" s="74"/>
      <c r="B157" s="54"/>
      <c r="C157" s="56"/>
      <c r="D157" s="56"/>
      <c r="E157" s="56">
        <f t="shared" si="2"/>
        <v>0</v>
      </c>
      <c r="F157" s="77"/>
      <c r="G157" s="76"/>
      <c r="H157" s="54"/>
    </row>
    <row r="158" spans="1:8">
      <c r="A158" s="74"/>
      <c r="B158" s="54"/>
      <c r="C158" s="56"/>
      <c r="D158" s="56"/>
      <c r="E158" s="56">
        <f t="shared" si="2"/>
        <v>0</v>
      </c>
      <c r="F158" s="77"/>
      <c r="G158" s="76"/>
      <c r="H158" s="54"/>
    </row>
    <row r="159" spans="1:8">
      <c r="A159" s="74"/>
      <c r="B159" s="54"/>
      <c r="C159" s="56"/>
      <c r="D159" s="56"/>
      <c r="E159" s="56">
        <f t="shared" si="2"/>
        <v>0</v>
      </c>
      <c r="F159" s="77"/>
      <c r="G159" s="76"/>
      <c r="H159" s="54"/>
    </row>
    <row r="160" spans="1:8">
      <c r="A160" s="74"/>
      <c r="B160" s="54"/>
      <c r="C160" s="56"/>
      <c r="D160" s="56"/>
      <c r="E160" s="56">
        <f t="shared" si="2"/>
        <v>0</v>
      </c>
      <c r="F160" s="77"/>
      <c r="G160" s="76"/>
      <c r="H160" s="54"/>
    </row>
    <row r="161" spans="1:8">
      <c r="A161" s="74"/>
      <c r="B161" s="54"/>
      <c r="C161" s="56"/>
      <c r="D161" s="56"/>
      <c r="E161" s="56">
        <f t="shared" si="2"/>
        <v>0</v>
      </c>
      <c r="F161" s="77"/>
      <c r="G161" s="76"/>
      <c r="H161" s="54"/>
    </row>
    <row r="162" spans="1:8">
      <c r="A162" s="74"/>
      <c r="B162" s="54"/>
      <c r="C162" s="56"/>
      <c r="D162" s="56"/>
      <c r="E162" s="56">
        <f t="shared" si="2"/>
        <v>0</v>
      </c>
      <c r="F162" s="77"/>
      <c r="G162" s="76"/>
      <c r="H162" s="54"/>
    </row>
    <row r="163" spans="1:8">
      <c r="A163" s="74"/>
      <c r="B163" s="54"/>
      <c r="C163" s="56"/>
      <c r="D163" s="56"/>
      <c r="E163" s="56">
        <f t="shared" si="2"/>
        <v>0</v>
      </c>
      <c r="F163" s="77"/>
      <c r="G163" s="76"/>
      <c r="H163" s="54"/>
    </row>
    <row r="164" spans="1:8">
      <c r="C164" s="70">
        <f>SUM(C7:C163)</f>
        <v>0</v>
      </c>
      <c r="D164" s="70">
        <f>SUM(D7:D163)</f>
        <v>0</v>
      </c>
      <c r="F164" s="67"/>
    </row>
    <row r="168" spans="1:8">
      <c r="H168" t="s">
        <v>435</v>
      </c>
    </row>
  </sheetData>
  <autoFilter ref="A5:H5" xr:uid="{163EE640-5476-4526-A73E-2E8E04840C34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668C-282A-48ED-B198-B1F4034FAA9E}">
  <dimension ref="A1:H168"/>
  <sheetViews>
    <sheetView zoomScale="175" zoomScaleNormal="175" workbookViewId="0">
      <selection activeCell="B16" sqref="B16"/>
    </sheetView>
  </sheetViews>
  <sheetFormatPr baseColWidth="10" defaultColWidth="11.42578125" defaultRowHeight="15"/>
  <cols>
    <col min="2" max="2" width="22.28515625" customWidth="1"/>
    <col min="3" max="3" width="12.85546875" customWidth="1"/>
    <col min="4" max="4" width="12.7109375" customWidth="1"/>
    <col min="5" max="5" width="12.28515625" customWidth="1"/>
    <col min="6" max="6" width="10.140625" style="68" customWidth="1"/>
    <col min="7" max="7" width="65.42578125" customWidth="1"/>
    <col min="8" max="8" width="59.28515625" customWidth="1"/>
  </cols>
  <sheetData>
    <row r="1" spans="1:8">
      <c r="A1" s="15"/>
      <c r="B1" s="15"/>
      <c r="C1" s="32"/>
      <c r="D1" s="32"/>
      <c r="E1" s="28" t="s">
        <v>0</v>
      </c>
      <c r="F1" s="65"/>
      <c r="G1" s="29"/>
      <c r="H1" s="29"/>
    </row>
    <row r="2" spans="1:8">
      <c r="A2" s="30" t="s">
        <v>552</v>
      </c>
      <c r="B2" s="15"/>
      <c r="C2" s="32"/>
      <c r="D2" s="32"/>
      <c r="E2" s="28" t="s">
        <v>2</v>
      </c>
      <c r="F2" s="65"/>
      <c r="G2" s="29"/>
      <c r="H2" s="29"/>
    </row>
    <row r="3" spans="1:8">
      <c r="A3" s="30" t="s">
        <v>553</v>
      </c>
      <c r="B3" s="15"/>
      <c r="C3" s="32"/>
      <c r="D3" s="32"/>
      <c r="E3" s="28" t="s">
        <v>4</v>
      </c>
      <c r="F3" s="65"/>
      <c r="G3" s="29"/>
      <c r="H3" s="29"/>
    </row>
    <row r="4" spans="1:8">
      <c r="A4" s="29"/>
      <c r="B4" s="29"/>
      <c r="C4" s="31"/>
      <c r="D4" s="31"/>
      <c r="E4" s="29"/>
      <c r="F4" s="66"/>
      <c r="G4" s="29"/>
      <c r="H4" s="29"/>
    </row>
    <row r="5" spans="1:8">
      <c r="A5" s="7" t="s">
        <v>5</v>
      </c>
      <c r="B5" s="7" t="s">
        <v>6</v>
      </c>
      <c r="C5" s="33" t="s">
        <v>7</v>
      </c>
      <c r="D5" s="33" t="s">
        <v>8</v>
      </c>
      <c r="E5" s="9" t="s">
        <v>9</v>
      </c>
      <c r="F5" s="64" t="s">
        <v>432</v>
      </c>
      <c r="G5" s="63" t="s">
        <v>433</v>
      </c>
      <c r="H5" s="54" t="s">
        <v>434</v>
      </c>
    </row>
    <row r="6" spans="1:8">
      <c r="A6" s="10"/>
      <c r="B6" s="10" t="s">
        <v>11</v>
      </c>
      <c r="C6" s="48"/>
      <c r="D6" s="48">
        <v>0</v>
      </c>
      <c r="E6" s="45"/>
      <c r="F6" s="63"/>
      <c r="G6" s="63"/>
      <c r="H6" s="45"/>
    </row>
    <row r="7" spans="1:8" s="71" customFormat="1">
      <c r="A7" s="74"/>
      <c r="B7" s="54"/>
      <c r="C7" s="56"/>
      <c r="D7" s="56"/>
      <c r="E7" s="56">
        <f>D6-C7+D7</f>
        <v>0</v>
      </c>
      <c r="F7" s="75"/>
      <c r="G7" s="76"/>
      <c r="H7" s="54"/>
    </row>
    <row r="8" spans="1:8">
      <c r="A8" s="74"/>
      <c r="B8" s="54"/>
      <c r="C8" s="56"/>
      <c r="D8" s="56"/>
      <c r="E8" s="56">
        <f t="shared" ref="E8:E71" si="0">E7-C8+D8</f>
        <v>0</v>
      </c>
      <c r="F8" s="75"/>
      <c r="G8" s="76"/>
      <c r="H8" s="54"/>
    </row>
    <row r="9" spans="1:8">
      <c r="A9" s="74"/>
      <c r="B9" s="54"/>
      <c r="C9" s="56"/>
      <c r="D9" s="56"/>
      <c r="E9" s="56">
        <f t="shared" si="0"/>
        <v>0</v>
      </c>
      <c r="F9" s="77"/>
      <c r="G9" s="76"/>
      <c r="H9" s="54"/>
    </row>
    <row r="10" spans="1:8">
      <c r="A10" s="74"/>
      <c r="B10" s="54"/>
      <c r="C10" s="56"/>
      <c r="D10" s="56"/>
      <c r="E10" s="56">
        <f t="shared" si="0"/>
        <v>0</v>
      </c>
      <c r="F10" s="77"/>
      <c r="G10" s="76"/>
      <c r="H10" s="54"/>
    </row>
    <row r="11" spans="1:8">
      <c r="A11" s="74"/>
      <c r="B11" s="54"/>
      <c r="C11" s="56"/>
      <c r="D11" s="56"/>
      <c r="E11" s="56">
        <f t="shared" si="0"/>
        <v>0</v>
      </c>
      <c r="F11" s="77"/>
      <c r="G11" s="76"/>
      <c r="H11" s="54"/>
    </row>
    <row r="12" spans="1:8">
      <c r="A12" s="74"/>
      <c r="B12" s="54"/>
      <c r="C12" s="56"/>
      <c r="D12" s="56"/>
      <c r="E12" s="56">
        <f t="shared" si="0"/>
        <v>0</v>
      </c>
      <c r="F12" s="77"/>
      <c r="G12" s="76"/>
      <c r="H12" s="54"/>
    </row>
    <row r="13" spans="1:8">
      <c r="A13" s="74"/>
      <c r="B13" s="54"/>
      <c r="C13" s="56"/>
      <c r="D13" s="56"/>
      <c r="E13" s="56">
        <f t="shared" si="0"/>
        <v>0</v>
      </c>
      <c r="F13" s="77"/>
      <c r="G13" s="76"/>
      <c r="H13" s="54"/>
    </row>
    <row r="14" spans="1:8">
      <c r="A14" s="74"/>
      <c r="B14" s="54"/>
      <c r="C14" s="56"/>
      <c r="D14" s="56"/>
      <c r="E14" s="56">
        <f t="shared" si="0"/>
        <v>0</v>
      </c>
      <c r="F14" s="75"/>
      <c r="G14" s="76"/>
      <c r="H14" s="54"/>
    </row>
    <row r="15" spans="1:8">
      <c r="A15" s="74"/>
      <c r="B15" s="54"/>
      <c r="C15" s="56"/>
      <c r="D15" s="56"/>
      <c r="E15" s="56">
        <f t="shared" si="0"/>
        <v>0</v>
      </c>
      <c r="F15" s="77"/>
      <c r="G15" s="76"/>
      <c r="H15" s="54"/>
    </row>
    <row r="16" spans="1:8">
      <c r="A16" s="74"/>
      <c r="B16" s="54"/>
      <c r="C16" s="56"/>
      <c r="D16" s="56"/>
      <c r="E16" s="56">
        <f t="shared" si="0"/>
        <v>0</v>
      </c>
      <c r="F16" s="77"/>
      <c r="G16" s="76"/>
      <c r="H16" s="54"/>
    </row>
    <row r="17" spans="1:8">
      <c r="A17" s="74"/>
      <c r="B17" s="54"/>
      <c r="C17" s="56"/>
      <c r="D17" s="56"/>
      <c r="E17" s="56">
        <f t="shared" si="0"/>
        <v>0</v>
      </c>
      <c r="F17" s="77"/>
      <c r="G17" s="76"/>
      <c r="H17" s="54"/>
    </row>
    <row r="18" spans="1:8">
      <c r="A18" s="74"/>
      <c r="B18" s="54"/>
      <c r="C18" s="56"/>
      <c r="D18" s="56"/>
      <c r="E18" s="56">
        <f t="shared" si="0"/>
        <v>0</v>
      </c>
      <c r="F18" s="77"/>
      <c r="G18" s="76"/>
      <c r="H18" s="54"/>
    </row>
    <row r="19" spans="1:8">
      <c r="A19" s="74"/>
      <c r="B19" s="54"/>
      <c r="C19" s="56"/>
      <c r="D19" s="56"/>
      <c r="E19" s="56">
        <f t="shared" si="0"/>
        <v>0</v>
      </c>
      <c r="F19" s="77"/>
      <c r="G19" s="76"/>
      <c r="H19" s="54"/>
    </row>
    <row r="20" spans="1:8">
      <c r="A20" s="74"/>
      <c r="B20" s="54"/>
      <c r="C20" s="56"/>
      <c r="D20" s="56"/>
      <c r="E20" s="56">
        <f t="shared" si="0"/>
        <v>0</v>
      </c>
      <c r="F20" s="77"/>
      <c r="G20" s="76"/>
      <c r="H20" s="54"/>
    </row>
    <row r="21" spans="1:8">
      <c r="A21" s="74"/>
      <c r="B21" s="54"/>
      <c r="C21" s="56"/>
      <c r="D21" s="56"/>
      <c r="E21" s="56">
        <f t="shared" si="0"/>
        <v>0</v>
      </c>
      <c r="F21" s="77"/>
      <c r="G21" s="76"/>
      <c r="H21" s="54"/>
    </row>
    <row r="22" spans="1:8">
      <c r="A22" s="74"/>
      <c r="B22" s="54"/>
      <c r="C22" s="56"/>
      <c r="D22" s="56"/>
      <c r="E22" s="56">
        <f t="shared" si="0"/>
        <v>0</v>
      </c>
      <c r="F22" s="77"/>
      <c r="G22" s="76"/>
      <c r="H22" s="54"/>
    </row>
    <row r="23" spans="1:8">
      <c r="A23" s="74"/>
      <c r="B23" s="54"/>
      <c r="C23" s="56"/>
      <c r="D23" s="56"/>
      <c r="E23" s="56">
        <f t="shared" si="0"/>
        <v>0</v>
      </c>
      <c r="F23" s="77"/>
      <c r="G23" s="76"/>
      <c r="H23" s="54"/>
    </row>
    <row r="24" spans="1:8">
      <c r="A24" s="74"/>
      <c r="B24" s="54"/>
      <c r="C24" s="56"/>
      <c r="D24" s="56"/>
      <c r="E24" s="56">
        <f t="shared" si="0"/>
        <v>0</v>
      </c>
      <c r="F24" s="77"/>
      <c r="G24" s="76"/>
      <c r="H24" s="54"/>
    </row>
    <row r="25" spans="1:8">
      <c r="A25" s="74"/>
      <c r="B25" s="54"/>
      <c r="C25" s="56"/>
      <c r="D25" s="56"/>
      <c r="E25" s="56">
        <f t="shared" si="0"/>
        <v>0</v>
      </c>
      <c r="F25" s="77"/>
      <c r="G25" s="76"/>
      <c r="H25" s="54"/>
    </row>
    <row r="26" spans="1:8">
      <c r="A26" s="74"/>
      <c r="B26" s="54"/>
      <c r="C26" s="56"/>
      <c r="D26" s="56"/>
      <c r="E26" s="56">
        <f t="shared" si="0"/>
        <v>0</v>
      </c>
      <c r="F26" s="77"/>
      <c r="G26" s="76"/>
      <c r="H26" s="54"/>
    </row>
    <row r="27" spans="1:8">
      <c r="A27" s="74"/>
      <c r="B27" s="54"/>
      <c r="C27" s="56"/>
      <c r="D27" s="56"/>
      <c r="E27" s="56">
        <f t="shared" si="0"/>
        <v>0</v>
      </c>
      <c r="F27" s="77"/>
      <c r="G27" s="76"/>
      <c r="H27" s="54"/>
    </row>
    <row r="28" spans="1:8">
      <c r="A28" s="74"/>
      <c r="B28" s="54"/>
      <c r="C28" s="56"/>
      <c r="D28" s="56"/>
      <c r="E28" s="56">
        <f t="shared" si="0"/>
        <v>0</v>
      </c>
      <c r="F28" s="77"/>
      <c r="G28" s="76"/>
      <c r="H28" s="54"/>
    </row>
    <row r="29" spans="1:8">
      <c r="A29" s="74"/>
      <c r="B29" s="54"/>
      <c r="C29" s="56"/>
      <c r="D29" s="56"/>
      <c r="E29" s="56">
        <f t="shared" si="0"/>
        <v>0</v>
      </c>
      <c r="F29" s="78"/>
      <c r="G29" s="54"/>
      <c r="H29" s="54"/>
    </row>
    <row r="30" spans="1:8">
      <c r="A30" s="74"/>
      <c r="B30" s="54"/>
      <c r="C30" s="56"/>
      <c r="D30" s="56"/>
      <c r="E30" s="56">
        <f t="shared" si="0"/>
        <v>0</v>
      </c>
      <c r="F30" s="77"/>
      <c r="G30" s="76"/>
      <c r="H30" s="54"/>
    </row>
    <row r="31" spans="1:8">
      <c r="A31" s="74"/>
      <c r="B31" s="54"/>
      <c r="C31" s="56"/>
      <c r="D31" s="56"/>
      <c r="E31" s="56">
        <f t="shared" si="0"/>
        <v>0</v>
      </c>
      <c r="F31" s="78"/>
      <c r="G31" s="54"/>
      <c r="H31" s="54"/>
    </row>
    <row r="32" spans="1:8">
      <c r="A32" s="74"/>
      <c r="B32" s="54"/>
      <c r="C32" s="56"/>
      <c r="D32" s="56"/>
      <c r="E32" s="56">
        <f t="shared" si="0"/>
        <v>0</v>
      </c>
      <c r="F32" s="78"/>
      <c r="G32" s="79"/>
      <c r="H32" s="54"/>
    </row>
    <row r="33" spans="1:8">
      <c r="A33" s="74"/>
      <c r="B33" s="54"/>
      <c r="C33" s="56"/>
      <c r="D33" s="56"/>
      <c r="E33" s="56">
        <f t="shared" si="0"/>
        <v>0</v>
      </c>
      <c r="F33" s="78"/>
      <c r="G33" s="79"/>
      <c r="H33" s="54"/>
    </row>
    <row r="34" spans="1:8">
      <c r="A34" s="74"/>
      <c r="B34" s="54"/>
      <c r="C34" s="56"/>
      <c r="D34" s="56"/>
      <c r="E34" s="56">
        <f t="shared" si="0"/>
        <v>0</v>
      </c>
      <c r="F34" s="78"/>
      <c r="G34" s="54"/>
      <c r="H34" s="54"/>
    </row>
    <row r="35" spans="1:8">
      <c r="A35" s="74"/>
      <c r="B35" s="54"/>
      <c r="C35" s="56"/>
      <c r="D35" s="56"/>
      <c r="E35" s="56">
        <f t="shared" si="0"/>
        <v>0</v>
      </c>
      <c r="F35" s="77"/>
      <c r="G35" s="76"/>
      <c r="H35" s="54"/>
    </row>
    <row r="36" spans="1:8">
      <c r="A36" s="74"/>
      <c r="B36" s="54"/>
      <c r="C36" s="56"/>
      <c r="D36" s="56"/>
      <c r="E36" s="56">
        <f t="shared" si="0"/>
        <v>0</v>
      </c>
      <c r="F36" s="77"/>
      <c r="G36" s="76"/>
      <c r="H36" s="54"/>
    </row>
    <row r="37" spans="1:8">
      <c r="A37" s="74"/>
      <c r="B37" s="54"/>
      <c r="C37" s="56"/>
      <c r="D37" s="56"/>
      <c r="E37" s="56">
        <f t="shared" si="0"/>
        <v>0</v>
      </c>
      <c r="F37" s="77"/>
      <c r="G37" s="76"/>
      <c r="H37" s="54"/>
    </row>
    <row r="38" spans="1:8">
      <c r="A38" s="74"/>
      <c r="B38" s="54"/>
      <c r="C38" s="56"/>
      <c r="D38" s="56"/>
      <c r="E38" s="56">
        <f t="shared" si="0"/>
        <v>0</v>
      </c>
      <c r="F38" s="78"/>
      <c r="G38" s="54"/>
      <c r="H38" s="54"/>
    </row>
    <row r="39" spans="1:8">
      <c r="A39" s="74"/>
      <c r="B39" s="54"/>
      <c r="C39" s="56"/>
      <c r="D39" s="56"/>
      <c r="E39" s="56">
        <f t="shared" si="0"/>
        <v>0</v>
      </c>
      <c r="F39" s="78"/>
      <c r="G39" s="80"/>
      <c r="H39" s="54"/>
    </row>
    <row r="40" spans="1:8">
      <c r="A40" s="74"/>
      <c r="B40" s="54"/>
      <c r="C40" s="56"/>
      <c r="D40" s="56"/>
      <c r="E40" s="56">
        <f t="shared" si="0"/>
        <v>0</v>
      </c>
      <c r="F40" s="77"/>
      <c r="G40" s="76"/>
      <c r="H40" s="54"/>
    </row>
    <row r="41" spans="1:8">
      <c r="A41" s="74"/>
      <c r="B41" s="54"/>
      <c r="C41" s="56"/>
      <c r="D41" s="56"/>
      <c r="E41" s="56">
        <f t="shared" si="0"/>
        <v>0</v>
      </c>
      <c r="F41" s="77"/>
      <c r="G41" s="76"/>
      <c r="H41" s="54"/>
    </row>
    <row r="42" spans="1:8">
      <c r="A42" s="74"/>
      <c r="B42" s="54"/>
      <c r="C42" s="56"/>
      <c r="D42" s="56"/>
      <c r="E42" s="56">
        <f t="shared" si="0"/>
        <v>0</v>
      </c>
      <c r="F42" s="77"/>
      <c r="G42" s="76"/>
      <c r="H42" s="54"/>
    </row>
    <row r="43" spans="1:8">
      <c r="A43" s="74"/>
      <c r="B43" s="54"/>
      <c r="C43" s="56"/>
      <c r="D43" s="56"/>
      <c r="E43" s="56">
        <f t="shared" si="0"/>
        <v>0</v>
      </c>
      <c r="F43" s="77"/>
      <c r="G43" s="76"/>
      <c r="H43" s="54"/>
    </row>
    <row r="44" spans="1:8">
      <c r="A44" s="74"/>
      <c r="B44" s="54"/>
      <c r="C44" s="56"/>
      <c r="D44" s="56"/>
      <c r="E44" s="56">
        <f t="shared" si="0"/>
        <v>0</v>
      </c>
      <c r="F44" s="77"/>
      <c r="G44" s="76"/>
      <c r="H44" s="54"/>
    </row>
    <row r="45" spans="1:8">
      <c r="A45" s="74"/>
      <c r="B45" s="54"/>
      <c r="C45" s="56"/>
      <c r="D45" s="56"/>
      <c r="E45" s="56">
        <f t="shared" si="0"/>
        <v>0</v>
      </c>
      <c r="F45" s="77"/>
      <c r="G45" s="76"/>
      <c r="H45" s="54"/>
    </row>
    <row r="46" spans="1:8">
      <c r="A46" s="74"/>
      <c r="B46" s="54"/>
      <c r="C46" s="56"/>
      <c r="D46" s="56"/>
      <c r="E46" s="56">
        <f t="shared" si="0"/>
        <v>0</v>
      </c>
      <c r="F46" s="77"/>
      <c r="G46" s="76"/>
      <c r="H46" s="54"/>
    </row>
    <row r="47" spans="1:8">
      <c r="A47" s="74"/>
      <c r="B47" s="54"/>
      <c r="C47" s="56"/>
      <c r="D47" s="56"/>
      <c r="E47" s="56">
        <f t="shared" si="0"/>
        <v>0</v>
      </c>
      <c r="F47" s="77"/>
      <c r="G47" s="76"/>
      <c r="H47" s="54"/>
    </row>
    <row r="48" spans="1:8">
      <c r="A48" s="74"/>
      <c r="B48" s="54"/>
      <c r="C48" s="56"/>
      <c r="D48" s="56"/>
      <c r="E48" s="56">
        <f t="shared" si="0"/>
        <v>0</v>
      </c>
      <c r="F48" s="77"/>
      <c r="G48" s="76"/>
      <c r="H48" s="54"/>
    </row>
    <row r="49" spans="1:8">
      <c r="A49" s="74"/>
      <c r="B49" s="54"/>
      <c r="C49" s="56"/>
      <c r="D49" s="56"/>
      <c r="E49" s="56">
        <f t="shared" si="0"/>
        <v>0</v>
      </c>
      <c r="F49" s="78"/>
      <c r="G49" s="54"/>
      <c r="H49" s="54"/>
    </row>
    <row r="50" spans="1:8">
      <c r="A50" s="74"/>
      <c r="B50" s="54"/>
      <c r="C50" s="56"/>
      <c r="D50" s="56"/>
      <c r="E50" s="56">
        <f t="shared" si="0"/>
        <v>0</v>
      </c>
      <c r="F50" s="77"/>
      <c r="G50" s="76"/>
      <c r="H50" s="54"/>
    </row>
    <row r="51" spans="1:8">
      <c r="A51" s="74"/>
      <c r="B51" s="54"/>
      <c r="C51" s="56"/>
      <c r="D51" s="56"/>
      <c r="E51" s="56">
        <f t="shared" si="0"/>
        <v>0</v>
      </c>
      <c r="F51" s="77"/>
      <c r="G51" s="76"/>
      <c r="H51" s="54"/>
    </row>
    <row r="52" spans="1:8">
      <c r="A52" s="74"/>
      <c r="B52" s="54"/>
      <c r="C52" s="56"/>
      <c r="D52" s="56"/>
      <c r="E52" s="56">
        <f t="shared" si="0"/>
        <v>0</v>
      </c>
      <c r="F52" s="77"/>
      <c r="G52" s="76"/>
      <c r="H52" s="54"/>
    </row>
    <row r="53" spans="1:8">
      <c r="A53" s="74"/>
      <c r="B53" s="54"/>
      <c r="C53" s="56"/>
      <c r="D53" s="56"/>
      <c r="E53" s="56">
        <f t="shared" si="0"/>
        <v>0</v>
      </c>
      <c r="F53" s="77"/>
      <c r="G53" s="76"/>
      <c r="H53" s="54"/>
    </row>
    <row r="54" spans="1:8">
      <c r="A54" s="74"/>
      <c r="B54" s="54"/>
      <c r="C54" s="56"/>
      <c r="D54" s="56"/>
      <c r="E54" s="56">
        <f t="shared" si="0"/>
        <v>0</v>
      </c>
      <c r="F54" s="77"/>
      <c r="G54" s="76"/>
      <c r="H54" s="54"/>
    </row>
    <row r="55" spans="1:8">
      <c r="A55" s="74"/>
      <c r="B55" s="54"/>
      <c r="C55" s="56"/>
      <c r="D55" s="56"/>
      <c r="E55" s="56">
        <f t="shared" si="0"/>
        <v>0</v>
      </c>
      <c r="F55" s="77"/>
      <c r="G55" s="76"/>
      <c r="H55" s="54"/>
    </row>
    <row r="56" spans="1:8">
      <c r="A56" s="74"/>
      <c r="B56" s="54"/>
      <c r="C56" s="56"/>
      <c r="D56" s="56"/>
      <c r="E56" s="56">
        <f t="shared" si="0"/>
        <v>0</v>
      </c>
      <c r="F56" s="77"/>
      <c r="G56" s="76"/>
      <c r="H56" s="54"/>
    </row>
    <row r="57" spans="1:8">
      <c r="A57" s="74"/>
      <c r="B57" s="54"/>
      <c r="C57" s="56"/>
      <c r="D57" s="56"/>
      <c r="E57" s="56">
        <f t="shared" si="0"/>
        <v>0</v>
      </c>
      <c r="F57" s="77"/>
      <c r="G57" s="76"/>
      <c r="H57" s="54"/>
    </row>
    <row r="58" spans="1:8">
      <c r="A58" s="73"/>
      <c r="B58" s="54"/>
      <c r="C58" s="56"/>
      <c r="D58" s="56"/>
      <c r="E58" s="56">
        <f t="shared" si="0"/>
        <v>0</v>
      </c>
      <c r="F58" s="77"/>
      <c r="G58" s="76"/>
      <c r="H58" s="54"/>
    </row>
    <row r="59" spans="1:8">
      <c r="A59" s="73"/>
      <c r="B59" s="54"/>
      <c r="C59" s="56"/>
      <c r="D59" s="56"/>
      <c r="E59" s="56">
        <f t="shared" si="0"/>
        <v>0</v>
      </c>
      <c r="F59" s="77"/>
      <c r="G59" s="76"/>
      <c r="H59" s="54"/>
    </row>
    <row r="60" spans="1:8" s="71" customFormat="1">
      <c r="A60" s="73"/>
      <c r="B60" s="54"/>
      <c r="C60" s="56"/>
      <c r="D60" s="56"/>
      <c r="E60" s="56">
        <f t="shared" si="0"/>
        <v>0</v>
      </c>
      <c r="F60" s="77"/>
      <c r="G60" s="76"/>
      <c r="H60" s="54"/>
    </row>
    <row r="61" spans="1:8" s="71" customFormat="1">
      <c r="A61" s="73"/>
      <c r="B61" s="54"/>
      <c r="C61" s="56"/>
      <c r="D61" s="56"/>
      <c r="E61" s="56">
        <f t="shared" si="0"/>
        <v>0</v>
      </c>
      <c r="F61" s="77"/>
      <c r="G61" s="76"/>
      <c r="H61" s="54"/>
    </row>
    <row r="62" spans="1:8" s="71" customFormat="1">
      <c r="A62" s="73"/>
      <c r="B62" s="54"/>
      <c r="C62" s="56"/>
      <c r="D62" s="56"/>
      <c r="E62" s="56">
        <f t="shared" si="0"/>
        <v>0</v>
      </c>
      <c r="F62" s="77"/>
      <c r="G62" s="76"/>
      <c r="H62" s="54"/>
    </row>
    <row r="63" spans="1:8" s="71" customFormat="1">
      <c r="A63" s="73"/>
      <c r="B63" s="54"/>
      <c r="C63" s="56"/>
      <c r="D63" s="56"/>
      <c r="E63" s="56">
        <f t="shared" si="0"/>
        <v>0</v>
      </c>
      <c r="F63" s="77"/>
      <c r="G63" s="76"/>
      <c r="H63" s="54"/>
    </row>
    <row r="64" spans="1:8" s="71" customFormat="1">
      <c r="A64" s="73"/>
      <c r="B64" s="54"/>
      <c r="C64" s="56"/>
      <c r="D64" s="56"/>
      <c r="E64" s="56">
        <f t="shared" si="0"/>
        <v>0</v>
      </c>
      <c r="F64" s="77"/>
      <c r="G64" s="76"/>
      <c r="H64" s="54"/>
    </row>
    <row r="65" spans="1:8" s="71" customFormat="1">
      <c r="A65" s="73"/>
      <c r="B65" s="54"/>
      <c r="C65" s="56"/>
      <c r="D65" s="56"/>
      <c r="E65" s="56">
        <f t="shared" si="0"/>
        <v>0</v>
      </c>
      <c r="F65" s="77"/>
      <c r="G65" s="76"/>
      <c r="H65" s="54"/>
    </row>
    <row r="66" spans="1:8" s="71" customFormat="1">
      <c r="A66" s="73"/>
      <c r="B66" s="54"/>
      <c r="C66" s="56"/>
      <c r="D66" s="56"/>
      <c r="E66" s="56">
        <f t="shared" si="0"/>
        <v>0</v>
      </c>
      <c r="F66" s="77"/>
      <c r="G66" s="76"/>
      <c r="H66" s="54"/>
    </row>
    <row r="67" spans="1:8" s="71" customFormat="1">
      <c r="A67" s="73"/>
      <c r="B67" s="54"/>
      <c r="C67" s="56"/>
      <c r="D67" s="56"/>
      <c r="E67" s="56">
        <f t="shared" si="0"/>
        <v>0</v>
      </c>
      <c r="F67" s="77"/>
      <c r="G67" s="76"/>
      <c r="H67" s="54"/>
    </row>
    <row r="68" spans="1:8" s="71" customFormat="1">
      <c r="A68" s="73"/>
      <c r="B68" s="54"/>
      <c r="C68" s="56"/>
      <c r="D68" s="56"/>
      <c r="E68" s="56">
        <f t="shared" si="0"/>
        <v>0</v>
      </c>
      <c r="F68" s="77"/>
      <c r="G68" s="76"/>
      <c r="H68" s="54"/>
    </row>
    <row r="69" spans="1:8" s="71" customFormat="1">
      <c r="A69" s="73"/>
      <c r="B69" s="54"/>
      <c r="C69" s="56"/>
      <c r="D69" s="56"/>
      <c r="E69" s="56">
        <f t="shared" si="0"/>
        <v>0</v>
      </c>
      <c r="F69" s="77"/>
      <c r="G69" s="76"/>
      <c r="H69" s="54"/>
    </row>
    <row r="70" spans="1:8">
      <c r="A70" s="73"/>
      <c r="B70" s="54"/>
      <c r="C70" s="56"/>
      <c r="D70" s="56"/>
      <c r="E70" s="56">
        <f t="shared" si="0"/>
        <v>0</v>
      </c>
      <c r="F70" s="75"/>
      <c r="G70" s="76"/>
      <c r="H70" s="54"/>
    </row>
    <row r="71" spans="1:8">
      <c r="A71" s="74"/>
      <c r="B71" s="54"/>
      <c r="C71" s="56"/>
      <c r="D71" s="56"/>
      <c r="E71" s="56">
        <f t="shared" si="0"/>
        <v>0</v>
      </c>
      <c r="F71" s="77"/>
      <c r="G71" s="76"/>
      <c r="H71" s="54"/>
    </row>
    <row r="72" spans="1:8">
      <c r="A72" s="74"/>
      <c r="B72" s="54"/>
      <c r="C72" s="56"/>
      <c r="D72" s="56"/>
      <c r="E72" s="56">
        <f t="shared" ref="E72:E135" si="1">E71-C72+D72</f>
        <v>0</v>
      </c>
      <c r="F72" s="77"/>
      <c r="G72" s="76"/>
      <c r="H72" s="54"/>
    </row>
    <row r="73" spans="1:8" s="72" customFormat="1">
      <c r="A73" s="74"/>
      <c r="B73" s="54"/>
      <c r="C73" s="56"/>
      <c r="D73" s="56"/>
      <c r="E73" s="56">
        <f t="shared" si="1"/>
        <v>0</v>
      </c>
      <c r="F73" s="77"/>
      <c r="G73" s="76"/>
      <c r="H73" s="54"/>
    </row>
    <row r="74" spans="1:8">
      <c r="A74" s="74"/>
      <c r="B74" s="54"/>
      <c r="C74" s="56"/>
      <c r="D74" s="56"/>
      <c r="E74" s="56">
        <f t="shared" si="1"/>
        <v>0</v>
      </c>
      <c r="F74" s="77"/>
      <c r="G74" s="76"/>
      <c r="H74" s="54"/>
    </row>
    <row r="75" spans="1:8">
      <c r="A75" s="74"/>
      <c r="B75" s="54"/>
      <c r="C75" s="56"/>
      <c r="D75" s="56"/>
      <c r="E75" s="56">
        <f t="shared" si="1"/>
        <v>0</v>
      </c>
      <c r="F75" s="77"/>
      <c r="G75" s="76"/>
      <c r="H75" s="54"/>
    </row>
    <row r="76" spans="1:8">
      <c r="A76" s="74"/>
      <c r="B76" s="54"/>
      <c r="C76" s="56"/>
      <c r="D76" s="56"/>
      <c r="E76" s="56">
        <f t="shared" si="1"/>
        <v>0</v>
      </c>
      <c r="F76" s="77"/>
      <c r="G76" s="76"/>
      <c r="H76" s="54"/>
    </row>
    <row r="77" spans="1:8">
      <c r="A77" s="74"/>
      <c r="B77" s="54"/>
      <c r="C77" s="56"/>
      <c r="D77" s="56"/>
      <c r="E77" s="56">
        <f t="shared" si="1"/>
        <v>0</v>
      </c>
      <c r="F77" s="77"/>
      <c r="G77" s="76"/>
      <c r="H77" s="54"/>
    </row>
    <row r="78" spans="1:8">
      <c r="A78" s="74"/>
      <c r="B78" s="54"/>
      <c r="C78" s="56"/>
      <c r="D78" s="56"/>
      <c r="E78" s="56">
        <f t="shared" si="1"/>
        <v>0</v>
      </c>
      <c r="F78" s="77"/>
      <c r="G78" s="76"/>
      <c r="H78" s="54"/>
    </row>
    <row r="79" spans="1:8">
      <c r="A79" s="74"/>
      <c r="B79" s="54"/>
      <c r="C79" s="56"/>
      <c r="D79" s="56"/>
      <c r="E79" s="56">
        <f t="shared" si="1"/>
        <v>0</v>
      </c>
      <c r="F79" s="77"/>
      <c r="G79" s="76"/>
      <c r="H79" s="54"/>
    </row>
    <row r="80" spans="1:8">
      <c r="A80" s="74"/>
      <c r="B80" s="54"/>
      <c r="C80" s="56"/>
      <c r="D80" s="56"/>
      <c r="E80" s="56">
        <f t="shared" si="1"/>
        <v>0</v>
      </c>
      <c r="F80" s="77"/>
      <c r="G80" s="76"/>
      <c r="H80" s="54"/>
    </row>
    <row r="81" spans="1:8">
      <c r="A81" s="74"/>
      <c r="B81" s="54"/>
      <c r="C81" s="56"/>
      <c r="D81" s="56"/>
      <c r="E81" s="56">
        <f t="shared" si="1"/>
        <v>0</v>
      </c>
      <c r="F81" s="77"/>
      <c r="G81" s="76"/>
      <c r="H81" s="54"/>
    </row>
    <row r="82" spans="1:8">
      <c r="A82" s="74"/>
      <c r="B82" s="54"/>
      <c r="C82" s="56"/>
      <c r="D82" s="56"/>
      <c r="E82" s="56">
        <f t="shared" si="1"/>
        <v>0</v>
      </c>
      <c r="F82" s="77"/>
      <c r="G82" s="76"/>
      <c r="H82" s="54"/>
    </row>
    <row r="83" spans="1:8">
      <c r="A83" s="74"/>
      <c r="B83" s="54"/>
      <c r="C83" s="56"/>
      <c r="D83" s="56"/>
      <c r="E83" s="56">
        <f t="shared" si="1"/>
        <v>0</v>
      </c>
      <c r="F83" s="77"/>
      <c r="G83" s="76"/>
      <c r="H83" s="54"/>
    </row>
    <row r="84" spans="1:8">
      <c r="A84" s="74"/>
      <c r="B84" s="54"/>
      <c r="C84" s="56"/>
      <c r="D84" s="56"/>
      <c r="E84" s="56">
        <f t="shared" si="1"/>
        <v>0</v>
      </c>
      <c r="F84" s="77"/>
      <c r="G84" s="76"/>
      <c r="H84" s="54"/>
    </row>
    <row r="85" spans="1:8">
      <c r="A85" s="74"/>
      <c r="B85" s="54"/>
      <c r="C85" s="56"/>
      <c r="D85" s="56"/>
      <c r="E85" s="56">
        <f t="shared" si="1"/>
        <v>0</v>
      </c>
      <c r="F85" s="77"/>
      <c r="G85" s="76"/>
      <c r="H85" s="54"/>
    </row>
    <row r="86" spans="1:8">
      <c r="A86" s="74"/>
      <c r="B86" s="54"/>
      <c r="C86" s="56"/>
      <c r="D86" s="56"/>
      <c r="E86" s="56">
        <f t="shared" si="1"/>
        <v>0</v>
      </c>
      <c r="F86" s="77"/>
      <c r="G86" s="76"/>
      <c r="H86" s="54"/>
    </row>
    <row r="87" spans="1:8">
      <c r="A87" s="74"/>
      <c r="B87" s="54"/>
      <c r="C87" s="56"/>
      <c r="D87" s="56"/>
      <c r="E87" s="56">
        <f t="shared" si="1"/>
        <v>0</v>
      </c>
      <c r="F87" s="77"/>
      <c r="G87" s="76"/>
      <c r="H87" s="54"/>
    </row>
    <row r="88" spans="1:8">
      <c r="A88" s="74"/>
      <c r="B88" s="54"/>
      <c r="C88" s="56"/>
      <c r="D88" s="56"/>
      <c r="E88" s="56">
        <f t="shared" si="1"/>
        <v>0</v>
      </c>
      <c r="F88" s="77"/>
      <c r="G88" s="76"/>
      <c r="H88" s="54"/>
    </row>
    <row r="89" spans="1:8">
      <c r="A89" s="74"/>
      <c r="B89" s="54"/>
      <c r="C89" s="56"/>
      <c r="D89" s="56"/>
      <c r="E89" s="56">
        <f t="shared" si="1"/>
        <v>0</v>
      </c>
      <c r="F89" s="77"/>
      <c r="G89" s="76"/>
      <c r="H89" s="54"/>
    </row>
    <row r="90" spans="1:8">
      <c r="A90" s="74"/>
      <c r="B90" s="54"/>
      <c r="C90" s="56"/>
      <c r="D90" s="56"/>
      <c r="E90" s="56">
        <f t="shared" si="1"/>
        <v>0</v>
      </c>
      <c r="F90" s="77"/>
      <c r="G90" s="76"/>
      <c r="H90" s="54"/>
    </row>
    <row r="91" spans="1:8">
      <c r="A91" s="74"/>
      <c r="B91" s="54"/>
      <c r="C91" s="56"/>
      <c r="D91" s="56"/>
      <c r="E91" s="56">
        <f t="shared" si="1"/>
        <v>0</v>
      </c>
      <c r="F91" s="77"/>
      <c r="G91" s="76"/>
      <c r="H91" s="54"/>
    </row>
    <row r="92" spans="1:8">
      <c r="A92" s="74"/>
      <c r="B92" s="54"/>
      <c r="C92" s="56"/>
      <c r="D92" s="56"/>
      <c r="E92" s="56">
        <f t="shared" si="1"/>
        <v>0</v>
      </c>
      <c r="F92" s="77"/>
      <c r="G92" s="76"/>
      <c r="H92" s="54"/>
    </row>
    <row r="93" spans="1:8">
      <c r="A93" s="74"/>
      <c r="B93" s="54"/>
      <c r="C93" s="56"/>
      <c r="D93" s="56"/>
      <c r="E93" s="56">
        <f t="shared" si="1"/>
        <v>0</v>
      </c>
      <c r="F93" s="78"/>
      <c r="G93" s="76"/>
      <c r="H93" s="54"/>
    </row>
    <row r="94" spans="1:8">
      <c r="A94" s="74"/>
      <c r="B94" s="54"/>
      <c r="C94" s="56"/>
      <c r="D94" s="56"/>
      <c r="E94" s="56">
        <f t="shared" si="1"/>
        <v>0</v>
      </c>
      <c r="F94" s="77"/>
      <c r="G94" s="81"/>
      <c r="H94" s="54"/>
    </row>
    <row r="95" spans="1:8">
      <c r="A95" s="74"/>
      <c r="B95" s="54"/>
      <c r="C95" s="56"/>
      <c r="D95" s="56"/>
      <c r="E95" s="56">
        <f t="shared" si="1"/>
        <v>0</v>
      </c>
      <c r="F95" s="77"/>
      <c r="G95" s="76"/>
      <c r="H95" s="54"/>
    </row>
    <row r="96" spans="1:8">
      <c r="A96" s="74"/>
      <c r="B96" s="54"/>
      <c r="C96" s="56"/>
      <c r="D96" s="56"/>
      <c r="E96" s="56">
        <f t="shared" si="1"/>
        <v>0</v>
      </c>
      <c r="F96" s="77"/>
      <c r="G96" s="76"/>
      <c r="H96" s="54"/>
    </row>
    <row r="97" spans="1:8">
      <c r="A97" s="74"/>
      <c r="B97" s="54"/>
      <c r="C97" s="56"/>
      <c r="D97" s="56"/>
      <c r="E97" s="56">
        <f t="shared" si="1"/>
        <v>0</v>
      </c>
      <c r="F97" s="77"/>
      <c r="G97" s="69"/>
      <c r="H97" s="82"/>
    </row>
    <row r="98" spans="1:8">
      <c r="A98" s="74"/>
      <c r="B98" s="54"/>
      <c r="C98" s="56"/>
      <c r="D98" s="56"/>
      <c r="E98" s="56">
        <f t="shared" si="1"/>
        <v>0</v>
      </c>
      <c r="F98" s="77"/>
      <c r="G98" s="76"/>
      <c r="H98" s="82"/>
    </row>
    <row r="99" spans="1:8">
      <c r="A99" s="74"/>
      <c r="B99" s="54"/>
      <c r="C99" s="56"/>
      <c r="D99" s="56"/>
      <c r="E99" s="56">
        <f t="shared" si="1"/>
        <v>0</v>
      </c>
      <c r="F99" s="77"/>
      <c r="G99" s="76"/>
      <c r="H99" s="54"/>
    </row>
    <row r="100" spans="1:8" s="71" customFormat="1">
      <c r="A100" s="74"/>
      <c r="B100" s="54"/>
      <c r="C100" s="56"/>
      <c r="D100" s="56"/>
      <c r="E100" s="56">
        <f t="shared" si="1"/>
        <v>0</v>
      </c>
      <c r="F100" s="77"/>
      <c r="G100" s="69"/>
      <c r="H100" s="82"/>
    </row>
    <row r="101" spans="1:8">
      <c r="A101" s="74"/>
      <c r="B101" s="54"/>
      <c r="C101" s="56"/>
      <c r="D101" s="56"/>
      <c r="E101" s="56">
        <f t="shared" si="1"/>
        <v>0</v>
      </c>
      <c r="F101" s="77"/>
      <c r="G101" s="76"/>
      <c r="H101" s="54"/>
    </row>
    <row r="102" spans="1:8">
      <c r="A102" s="74"/>
      <c r="B102" s="54"/>
      <c r="C102" s="56"/>
      <c r="D102" s="56"/>
      <c r="E102" s="56">
        <f t="shared" si="1"/>
        <v>0</v>
      </c>
      <c r="F102" s="77"/>
      <c r="G102" s="76"/>
      <c r="H102" s="54"/>
    </row>
    <row r="103" spans="1:8" s="71" customFormat="1">
      <c r="A103" s="74"/>
      <c r="B103" s="54"/>
      <c r="C103" s="56"/>
      <c r="D103" s="56"/>
      <c r="E103" s="56">
        <f t="shared" si="1"/>
        <v>0</v>
      </c>
      <c r="F103" s="77"/>
      <c r="G103" s="69"/>
      <c r="H103" s="82"/>
    </row>
    <row r="104" spans="1:8">
      <c r="A104" s="74"/>
      <c r="B104" s="54"/>
      <c r="C104" s="56"/>
      <c r="D104" s="56"/>
      <c r="E104" s="56">
        <f t="shared" si="1"/>
        <v>0</v>
      </c>
      <c r="F104" s="77"/>
      <c r="G104" s="76"/>
      <c r="H104" s="54"/>
    </row>
    <row r="105" spans="1:8">
      <c r="A105" s="74"/>
      <c r="B105" s="54"/>
      <c r="C105" s="56"/>
      <c r="D105" s="56"/>
      <c r="E105" s="56">
        <f t="shared" si="1"/>
        <v>0</v>
      </c>
      <c r="F105" s="77"/>
      <c r="G105" s="76"/>
      <c r="H105" s="54"/>
    </row>
    <row r="106" spans="1:8">
      <c r="A106" s="74"/>
      <c r="B106" s="54"/>
      <c r="C106" s="56"/>
      <c r="D106" s="56"/>
      <c r="E106" s="56">
        <f t="shared" si="1"/>
        <v>0</v>
      </c>
      <c r="F106" s="77"/>
      <c r="G106" s="76"/>
      <c r="H106" s="54"/>
    </row>
    <row r="107" spans="1:8" s="71" customFormat="1">
      <c r="A107" s="74"/>
      <c r="B107" s="54"/>
      <c r="C107" s="56"/>
      <c r="D107" s="56"/>
      <c r="E107" s="56">
        <f t="shared" si="1"/>
        <v>0</v>
      </c>
      <c r="F107" s="77"/>
      <c r="G107" s="76"/>
      <c r="H107" s="54"/>
    </row>
    <row r="108" spans="1:8" s="71" customFormat="1">
      <c r="A108" s="74"/>
      <c r="B108" s="54"/>
      <c r="C108" s="56"/>
      <c r="D108" s="56"/>
      <c r="E108" s="56">
        <f t="shared" si="1"/>
        <v>0</v>
      </c>
      <c r="F108" s="77"/>
      <c r="G108" s="76"/>
      <c r="H108" s="54"/>
    </row>
    <row r="109" spans="1:8" s="71" customFormat="1">
      <c r="A109" s="74"/>
      <c r="B109" s="54"/>
      <c r="C109" s="56"/>
      <c r="D109" s="56"/>
      <c r="E109" s="56">
        <f t="shared" si="1"/>
        <v>0</v>
      </c>
      <c r="F109" s="77"/>
      <c r="G109" s="76"/>
      <c r="H109" s="54"/>
    </row>
    <row r="110" spans="1:8">
      <c r="A110" s="74"/>
      <c r="B110" s="54"/>
      <c r="C110" s="56"/>
      <c r="D110" s="56"/>
      <c r="E110" s="56">
        <f t="shared" si="1"/>
        <v>0</v>
      </c>
      <c r="F110" s="77"/>
      <c r="G110" s="76"/>
      <c r="H110" s="54"/>
    </row>
    <row r="111" spans="1:8" s="71" customFormat="1">
      <c r="A111" s="74"/>
      <c r="B111" s="54"/>
      <c r="C111" s="56"/>
      <c r="D111" s="56"/>
      <c r="E111" s="56">
        <f t="shared" si="1"/>
        <v>0</v>
      </c>
      <c r="F111" s="77"/>
      <c r="G111" s="76"/>
      <c r="H111" s="54"/>
    </row>
    <row r="112" spans="1:8">
      <c r="A112" s="74"/>
      <c r="B112" s="54"/>
      <c r="C112" s="56"/>
      <c r="D112" s="56"/>
      <c r="E112" s="56">
        <f t="shared" si="1"/>
        <v>0</v>
      </c>
      <c r="F112" s="77"/>
      <c r="G112" s="76"/>
      <c r="H112" s="54"/>
    </row>
    <row r="113" spans="1:8">
      <c r="A113" s="74"/>
      <c r="B113" s="54"/>
      <c r="C113" s="56"/>
      <c r="D113" s="56"/>
      <c r="E113" s="56">
        <f t="shared" si="1"/>
        <v>0</v>
      </c>
      <c r="F113" s="77"/>
      <c r="G113" s="76"/>
      <c r="H113" s="54"/>
    </row>
    <row r="114" spans="1:8">
      <c r="A114" s="74"/>
      <c r="B114" s="54"/>
      <c r="C114" s="56"/>
      <c r="D114" s="56"/>
      <c r="E114" s="56">
        <f t="shared" si="1"/>
        <v>0</v>
      </c>
      <c r="F114" s="77"/>
      <c r="G114" s="76"/>
      <c r="H114" s="54"/>
    </row>
    <row r="115" spans="1:8">
      <c r="A115" s="74"/>
      <c r="B115" s="54"/>
      <c r="C115" s="56"/>
      <c r="D115" s="56"/>
      <c r="E115" s="56">
        <f t="shared" si="1"/>
        <v>0</v>
      </c>
      <c r="F115" s="77"/>
      <c r="G115" s="76"/>
      <c r="H115" s="54"/>
    </row>
    <row r="116" spans="1:8">
      <c r="A116" s="74"/>
      <c r="B116" s="54"/>
      <c r="C116" s="56"/>
      <c r="D116" s="56"/>
      <c r="E116" s="56">
        <f t="shared" si="1"/>
        <v>0</v>
      </c>
      <c r="F116" s="77"/>
      <c r="G116" s="76"/>
      <c r="H116" s="54"/>
    </row>
    <row r="117" spans="1:8">
      <c r="A117" s="74"/>
      <c r="B117" s="54"/>
      <c r="C117" s="56"/>
      <c r="D117" s="56"/>
      <c r="E117" s="56">
        <f t="shared" si="1"/>
        <v>0</v>
      </c>
      <c r="F117" s="77"/>
      <c r="G117" s="76"/>
      <c r="H117" s="54"/>
    </row>
    <row r="118" spans="1:8">
      <c r="A118" s="74"/>
      <c r="B118" s="54"/>
      <c r="C118" s="56"/>
      <c r="D118" s="56"/>
      <c r="E118" s="56">
        <f t="shared" si="1"/>
        <v>0</v>
      </c>
      <c r="F118" s="77"/>
      <c r="G118" s="76"/>
      <c r="H118" s="54"/>
    </row>
    <row r="119" spans="1:8">
      <c r="A119" s="74"/>
      <c r="B119" s="54"/>
      <c r="C119" s="56"/>
      <c r="D119" s="56"/>
      <c r="E119" s="56">
        <f t="shared" si="1"/>
        <v>0</v>
      </c>
      <c r="F119" s="77"/>
      <c r="G119" s="69"/>
      <c r="H119" s="54"/>
    </row>
    <row r="120" spans="1:8">
      <c r="A120" s="74"/>
      <c r="B120" s="54"/>
      <c r="C120" s="56"/>
      <c r="D120" s="56"/>
      <c r="E120" s="56">
        <f t="shared" si="1"/>
        <v>0</v>
      </c>
      <c r="F120" s="77"/>
      <c r="G120" s="69"/>
      <c r="H120" s="54"/>
    </row>
    <row r="121" spans="1:8">
      <c r="A121" s="74"/>
      <c r="B121" s="54"/>
      <c r="C121" s="56"/>
      <c r="D121" s="56"/>
      <c r="E121" s="56">
        <f t="shared" si="1"/>
        <v>0</v>
      </c>
      <c r="F121" s="77"/>
      <c r="G121" s="69"/>
      <c r="H121" s="54"/>
    </row>
    <row r="122" spans="1:8">
      <c r="A122" s="74"/>
      <c r="B122" s="54"/>
      <c r="C122" s="56"/>
      <c r="D122" s="56"/>
      <c r="E122" s="56">
        <f t="shared" si="1"/>
        <v>0</v>
      </c>
      <c r="F122" s="77"/>
      <c r="G122" s="76"/>
      <c r="H122" s="54"/>
    </row>
    <row r="123" spans="1:8">
      <c r="A123" s="83"/>
      <c r="B123" s="54"/>
      <c r="C123" s="56"/>
      <c r="D123" s="84"/>
      <c r="E123" s="56">
        <f t="shared" si="1"/>
        <v>0</v>
      </c>
      <c r="F123" s="77"/>
      <c r="G123" s="76"/>
      <c r="H123" s="54"/>
    </row>
    <row r="124" spans="1:8">
      <c r="A124" s="74"/>
      <c r="B124" s="54"/>
      <c r="C124" s="56"/>
      <c r="D124" s="56"/>
      <c r="E124" s="56">
        <f t="shared" si="1"/>
        <v>0</v>
      </c>
      <c r="F124" s="77"/>
      <c r="G124" s="69"/>
      <c r="H124" s="54"/>
    </row>
    <row r="125" spans="1:8">
      <c r="A125" s="74"/>
      <c r="B125" s="54"/>
      <c r="C125" s="56"/>
      <c r="D125" s="56"/>
      <c r="E125" s="56">
        <f t="shared" si="1"/>
        <v>0</v>
      </c>
      <c r="F125" s="77"/>
      <c r="G125" s="76"/>
      <c r="H125" s="54"/>
    </row>
    <row r="126" spans="1:8">
      <c r="A126" s="74"/>
      <c r="B126" s="54"/>
      <c r="C126" s="56"/>
      <c r="D126" s="56"/>
      <c r="E126" s="56">
        <f t="shared" si="1"/>
        <v>0</v>
      </c>
      <c r="F126" s="77"/>
      <c r="G126" s="76"/>
      <c r="H126" s="54"/>
    </row>
    <row r="127" spans="1:8">
      <c r="A127" s="74"/>
      <c r="B127" s="54"/>
      <c r="C127" s="56"/>
      <c r="D127" s="56"/>
      <c r="E127" s="56">
        <f t="shared" si="1"/>
        <v>0</v>
      </c>
      <c r="F127" s="77"/>
      <c r="G127" s="76"/>
      <c r="H127" s="54"/>
    </row>
    <row r="128" spans="1:8">
      <c r="A128" s="74"/>
      <c r="B128" s="54"/>
      <c r="C128" s="56"/>
      <c r="D128" s="56"/>
      <c r="E128" s="56">
        <f t="shared" si="1"/>
        <v>0</v>
      </c>
      <c r="F128" s="77"/>
      <c r="G128" s="76"/>
      <c r="H128" s="54"/>
    </row>
    <row r="129" spans="1:8">
      <c r="A129" s="83"/>
      <c r="B129" s="54"/>
      <c r="C129" s="56"/>
      <c r="D129" s="56"/>
      <c r="E129" s="56">
        <f t="shared" si="1"/>
        <v>0</v>
      </c>
      <c r="F129" s="77"/>
      <c r="G129" s="76"/>
      <c r="H129" s="54"/>
    </row>
    <row r="130" spans="1:8">
      <c r="A130" s="74"/>
      <c r="B130" s="54"/>
      <c r="C130" s="56"/>
      <c r="D130" s="56"/>
      <c r="E130" s="56">
        <f t="shared" si="1"/>
        <v>0</v>
      </c>
      <c r="F130" s="77"/>
      <c r="G130" s="76"/>
      <c r="H130" s="54"/>
    </row>
    <row r="131" spans="1:8" s="71" customFormat="1">
      <c r="A131" s="74"/>
      <c r="B131" s="54"/>
      <c r="C131" s="56"/>
      <c r="D131" s="56"/>
      <c r="E131" s="56">
        <f t="shared" si="1"/>
        <v>0</v>
      </c>
      <c r="F131" s="77"/>
      <c r="G131" s="76"/>
      <c r="H131" s="54"/>
    </row>
    <row r="132" spans="1:8">
      <c r="A132" s="74"/>
      <c r="B132" s="54"/>
      <c r="C132" s="56"/>
      <c r="D132" s="56"/>
      <c r="E132" s="56">
        <f t="shared" si="1"/>
        <v>0</v>
      </c>
      <c r="F132" s="77"/>
      <c r="G132" s="76"/>
      <c r="H132" s="54"/>
    </row>
    <row r="133" spans="1:8">
      <c r="A133" s="74"/>
      <c r="B133" s="54"/>
      <c r="C133" s="56"/>
      <c r="D133" s="56"/>
      <c r="E133" s="56">
        <f t="shared" si="1"/>
        <v>0</v>
      </c>
      <c r="F133" s="77"/>
      <c r="G133" s="76"/>
      <c r="H133" s="54"/>
    </row>
    <row r="134" spans="1:8">
      <c r="A134" s="74"/>
      <c r="B134" s="54"/>
      <c r="C134" s="56"/>
      <c r="D134" s="56"/>
      <c r="E134" s="56">
        <f t="shared" si="1"/>
        <v>0</v>
      </c>
      <c r="F134" s="77"/>
      <c r="G134" s="76"/>
      <c r="H134" s="54"/>
    </row>
    <row r="135" spans="1:8">
      <c r="A135" s="74"/>
      <c r="B135" s="54"/>
      <c r="C135" s="56"/>
      <c r="D135" s="56"/>
      <c r="E135" s="56">
        <f t="shared" si="1"/>
        <v>0</v>
      </c>
      <c r="F135" s="77"/>
      <c r="G135" s="76"/>
      <c r="H135" s="54"/>
    </row>
    <row r="136" spans="1:8">
      <c r="A136" s="74"/>
      <c r="B136" s="54"/>
      <c r="C136" s="56"/>
      <c r="D136" s="56"/>
      <c r="E136" s="56">
        <f t="shared" ref="E136:E163" si="2">E135-C136+D136</f>
        <v>0</v>
      </c>
      <c r="F136" s="77"/>
      <c r="G136" s="76"/>
      <c r="H136" s="54"/>
    </row>
    <row r="137" spans="1:8">
      <c r="A137" s="74"/>
      <c r="B137" s="54"/>
      <c r="C137" s="56"/>
      <c r="D137" s="56"/>
      <c r="E137" s="56">
        <f t="shared" si="2"/>
        <v>0</v>
      </c>
      <c r="F137" s="77"/>
      <c r="G137" s="76"/>
      <c r="H137" s="82"/>
    </row>
    <row r="138" spans="1:8">
      <c r="A138" s="74"/>
      <c r="B138" s="54"/>
      <c r="C138" s="56"/>
      <c r="D138" s="56"/>
      <c r="E138" s="56">
        <f t="shared" si="2"/>
        <v>0</v>
      </c>
      <c r="F138" s="77"/>
      <c r="G138" s="76"/>
      <c r="H138" s="54"/>
    </row>
    <row r="139" spans="1:8">
      <c r="A139" s="74"/>
      <c r="B139" s="54"/>
      <c r="C139" s="56"/>
      <c r="D139" s="56"/>
      <c r="E139" s="56">
        <f t="shared" si="2"/>
        <v>0</v>
      </c>
      <c r="F139" s="77"/>
      <c r="G139" s="76"/>
      <c r="H139" s="54"/>
    </row>
    <row r="140" spans="1:8">
      <c r="A140" s="74"/>
      <c r="B140" s="54"/>
      <c r="C140" s="56"/>
      <c r="D140" s="56"/>
      <c r="E140" s="56">
        <f t="shared" si="2"/>
        <v>0</v>
      </c>
      <c r="F140" s="77"/>
      <c r="G140" s="76"/>
      <c r="H140" s="54"/>
    </row>
    <row r="141" spans="1:8">
      <c r="A141" s="74"/>
      <c r="B141" s="54"/>
      <c r="C141" s="56"/>
      <c r="D141" s="56"/>
      <c r="E141" s="56">
        <f t="shared" si="2"/>
        <v>0</v>
      </c>
      <c r="F141" s="77"/>
      <c r="G141" s="76"/>
      <c r="H141" s="54"/>
    </row>
    <row r="142" spans="1:8">
      <c r="A142" s="74"/>
      <c r="B142" s="54"/>
      <c r="C142" s="56"/>
      <c r="D142" s="56"/>
      <c r="E142" s="56">
        <f t="shared" si="2"/>
        <v>0</v>
      </c>
      <c r="F142" s="77"/>
      <c r="G142" s="76"/>
      <c r="H142" s="54"/>
    </row>
    <row r="143" spans="1:8">
      <c r="A143" s="74"/>
      <c r="B143" s="54"/>
      <c r="C143" s="56"/>
      <c r="D143" s="56"/>
      <c r="E143" s="56">
        <f t="shared" si="2"/>
        <v>0</v>
      </c>
      <c r="F143" s="77"/>
      <c r="G143" s="76"/>
      <c r="H143" s="54"/>
    </row>
    <row r="144" spans="1:8">
      <c r="A144" s="74"/>
      <c r="B144" s="54"/>
      <c r="C144" s="56"/>
      <c r="D144" s="56"/>
      <c r="E144" s="56">
        <f t="shared" si="2"/>
        <v>0</v>
      </c>
      <c r="F144" s="77"/>
      <c r="G144" s="76"/>
      <c r="H144" s="54"/>
    </row>
    <row r="145" spans="1:8">
      <c r="A145" s="74"/>
      <c r="B145" s="54"/>
      <c r="C145" s="56"/>
      <c r="D145" s="56"/>
      <c r="E145" s="56">
        <f t="shared" si="2"/>
        <v>0</v>
      </c>
      <c r="F145" s="77"/>
      <c r="G145" s="76"/>
      <c r="H145" s="54"/>
    </row>
    <row r="146" spans="1:8">
      <c r="A146" s="74"/>
      <c r="B146" s="54"/>
      <c r="C146" s="56"/>
      <c r="D146" s="56"/>
      <c r="E146" s="56">
        <f t="shared" si="2"/>
        <v>0</v>
      </c>
      <c r="F146" s="77"/>
      <c r="G146" s="76"/>
      <c r="H146" s="54"/>
    </row>
    <row r="147" spans="1:8">
      <c r="A147" s="74"/>
      <c r="B147" s="54"/>
      <c r="C147" s="56"/>
      <c r="D147" s="56"/>
      <c r="E147" s="56">
        <f t="shared" si="2"/>
        <v>0</v>
      </c>
      <c r="F147" s="77"/>
      <c r="G147" s="76"/>
      <c r="H147" s="54"/>
    </row>
    <row r="148" spans="1:8">
      <c r="A148" s="74"/>
      <c r="B148" s="54"/>
      <c r="C148" s="56"/>
      <c r="D148" s="56"/>
      <c r="E148" s="56">
        <f t="shared" si="2"/>
        <v>0</v>
      </c>
      <c r="F148" s="77"/>
      <c r="G148" s="76"/>
      <c r="H148" s="54"/>
    </row>
    <row r="149" spans="1:8">
      <c r="A149" s="74"/>
      <c r="B149" s="54"/>
      <c r="C149" s="56"/>
      <c r="D149" s="56"/>
      <c r="E149" s="56">
        <f t="shared" si="2"/>
        <v>0</v>
      </c>
      <c r="F149" s="77"/>
      <c r="G149" s="76"/>
      <c r="H149" s="54"/>
    </row>
    <row r="150" spans="1:8" s="71" customFormat="1">
      <c r="A150" s="74"/>
      <c r="B150" s="54"/>
      <c r="C150" s="56"/>
      <c r="D150" s="56"/>
      <c r="E150" s="56">
        <f t="shared" si="2"/>
        <v>0</v>
      </c>
      <c r="F150" s="77"/>
      <c r="G150" s="76"/>
      <c r="H150" s="54"/>
    </row>
    <row r="151" spans="1:8">
      <c r="A151" s="74"/>
      <c r="B151" s="54"/>
      <c r="C151" s="56"/>
      <c r="D151" s="56"/>
      <c r="E151" s="56">
        <f t="shared" si="2"/>
        <v>0</v>
      </c>
      <c r="F151" s="78"/>
      <c r="G151" s="76"/>
      <c r="H151" s="54"/>
    </row>
    <row r="152" spans="1:8">
      <c r="A152" s="74"/>
      <c r="B152" s="54"/>
      <c r="C152" s="56"/>
      <c r="D152" s="56"/>
      <c r="E152" s="56">
        <f t="shared" si="2"/>
        <v>0</v>
      </c>
      <c r="F152" s="77"/>
      <c r="G152" s="54"/>
      <c r="H152" s="54"/>
    </row>
    <row r="153" spans="1:8">
      <c r="A153" s="74"/>
      <c r="B153" s="54"/>
      <c r="C153" s="56"/>
      <c r="D153" s="56"/>
      <c r="E153" s="56">
        <f t="shared" si="2"/>
        <v>0</v>
      </c>
      <c r="F153" s="77"/>
      <c r="G153" s="76"/>
      <c r="H153" s="54"/>
    </row>
    <row r="154" spans="1:8">
      <c r="A154" s="74"/>
      <c r="B154" s="54"/>
      <c r="C154" s="56"/>
      <c r="D154" s="56"/>
      <c r="E154" s="56">
        <f t="shared" si="2"/>
        <v>0</v>
      </c>
      <c r="F154" s="77"/>
      <c r="G154" s="76"/>
      <c r="H154" s="54"/>
    </row>
    <row r="155" spans="1:8">
      <c r="A155" s="74"/>
      <c r="B155" s="54"/>
      <c r="C155" s="56"/>
      <c r="D155" s="56"/>
      <c r="E155" s="56">
        <f t="shared" si="2"/>
        <v>0</v>
      </c>
      <c r="F155" s="77"/>
      <c r="G155" s="76"/>
      <c r="H155" s="54"/>
    </row>
    <row r="156" spans="1:8">
      <c r="A156" s="74"/>
      <c r="B156" s="54"/>
      <c r="C156" s="56"/>
      <c r="D156" s="56"/>
      <c r="E156" s="56">
        <f t="shared" si="2"/>
        <v>0</v>
      </c>
      <c r="F156" s="77"/>
      <c r="G156" s="76"/>
      <c r="H156" s="54"/>
    </row>
    <row r="157" spans="1:8">
      <c r="A157" s="74"/>
      <c r="B157" s="54"/>
      <c r="C157" s="56"/>
      <c r="D157" s="56"/>
      <c r="E157" s="56">
        <f t="shared" si="2"/>
        <v>0</v>
      </c>
      <c r="F157" s="77"/>
      <c r="G157" s="76"/>
      <c r="H157" s="54"/>
    </row>
    <row r="158" spans="1:8">
      <c r="A158" s="74"/>
      <c r="B158" s="54"/>
      <c r="C158" s="56"/>
      <c r="D158" s="56"/>
      <c r="E158" s="56">
        <f t="shared" si="2"/>
        <v>0</v>
      </c>
      <c r="F158" s="77"/>
      <c r="G158" s="76"/>
      <c r="H158" s="54"/>
    </row>
    <row r="159" spans="1:8">
      <c r="A159" s="74"/>
      <c r="B159" s="54"/>
      <c r="C159" s="56"/>
      <c r="D159" s="56"/>
      <c r="E159" s="56">
        <f t="shared" si="2"/>
        <v>0</v>
      </c>
      <c r="F159" s="77"/>
      <c r="G159" s="76"/>
      <c r="H159" s="54"/>
    </row>
    <row r="160" spans="1:8">
      <c r="A160" s="74"/>
      <c r="B160" s="54"/>
      <c r="C160" s="56"/>
      <c r="D160" s="56"/>
      <c r="E160" s="56">
        <f t="shared" si="2"/>
        <v>0</v>
      </c>
      <c r="F160" s="77"/>
      <c r="G160" s="76"/>
      <c r="H160" s="54"/>
    </row>
    <row r="161" spans="1:8">
      <c r="A161" s="74"/>
      <c r="B161" s="54"/>
      <c r="C161" s="56"/>
      <c r="D161" s="56"/>
      <c r="E161" s="56">
        <f t="shared" si="2"/>
        <v>0</v>
      </c>
      <c r="F161" s="77"/>
      <c r="G161" s="76"/>
      <c r="H161" s="54"/>
    </row>
    <row r="162" spans="1:8">
      <c r="A162" s="74"/>
      <c r="B162" s="54"/>
      <c r="C162" s="56"/>
      <c r="D162" s="56"/>
      <c r="E162" s="56">
        <f t="shared" si="2"/>
        <v>0</v>
      </c>
      <c r="F162" s="77"/>
      <c r="G162" s="76"/>
      <c r="H162" s="54"/>
    </row>
    <row r="163" spans="1:8">
      <c r="A163" s="74"/>
      <c r="B163" s="54"/>
      <c r="C163" s="56"/>
      <c r="D163" s="56"/>
      <c r="E163" s="56">
        <f t="shared" si="2"/>
        <v>0</v>
      </c>
      <c r="F163" s="77"/>
      <c r="G163" s="76"/>
      <c r="H163" s="54"/>
    </row>
    <row r="164" spans="1:8">
      <c r="C164" s="70">
        <f>SUM(C7:C163)</f>
        <v>0</v>
      </c>
      <c r="D164" s="70">
        <f>SUM(D7:D163)</f>
        <v>0</v>
      </c>
      <c r="F164" s="67"/>
    </row>
    <row r="168" spans="1:8">
      <c r="H168" t="s">
        <v>435</v>
      </c>
    </row>
  </sheetData>
  <autoFilter ref="A5:H5" xr:uid="{163EE640-5476-4526-A73E-2E8E04840C34}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E640-5476-4526-A73E-2E8E04840C34}">
  <sheetPr codeName="Hoja4"/>
  <dimension ref="A1:H168"/>
  <sheetViews>
    <sheetView zoomScale="175" zoomScaleNormal="175" workbookViewId="0">
      <selection activeCell="A3" sqref="A3"/>
    </sheetView>
  </sheetViews>
  <sheetFormatPr baseColWidth="10" defaultColWidth="11.42578125" defaultRowHeight="15"/>
  <cols>
    <col min="2" max="2" width="22.28515625" customWidth="1"/>
    <col min="3" max="3" width="12.85546875" customWidth="1"/>
    <col min="4" max="4" width="12.7109375" customWidth="1"/>
    <col min="5" max="5" width="12.28515625" customWidth="1"/>
    <col min="6" max="6" width="10.140625" style="68" customWidth="1"/>
    <col min="7" max="7" width="65.42578125" customWidth="1"/>
    <col min="8" max="8" width="59.28515625" customWidth="1"/>
  </cols>
  <sheetData>
    <row r="1" spans="1:8">
      <c r="A1" s="15"/>
      <c r="B1" s="15"/>
      <c r="C1" s="32"/>
      <c r="D1" s="32"/>
      <c r="E1" s="28" t="s">
        <v>0</v>
      </c>
      <c r="F1" s="65"/>
      <c r="G1" s="29"/>
      <c r="H1" s="29"/>
    </row>
    <row r="2" spans="1:8">
      <c r="A2" s="30" t="s">
        <v>552</v>
      </c>
      <c r="B2" s="15"/>
      <c r="C2" s="32"/>
      <c r="D2" s="32"/>
      <c r="E2" s="28" t="s">
        <v>2</v>
      </c>
      <c r="F2" s="65"/>
      <c r="G2" s="29"/>
      <c r="H2" s="29"/>
    </row>
    <row r="3" spans="1:8">
      <c r="A3" s="30" t="s">
        <v>553</v>
      </c>
      <c r="B3" s="15"/>
      <c r="C3" s="32"/>
      <c r="D3" s="32"/>
      <c r="E3" s="28" t="s">
        <v>4</v>
      </c>
      <c r="F3" s="65"/>
      <c r="G3" s="29"/>
      <c r="H3" s="29"/>
    </row>
    <row r="4" spans="1:8">
      <c r="A4" s="29"/>
      <c r="B4" s="29"/>
      <c r="C4" s="31"/>
      <c r="D4" s="31"/>
      <c r="E4" s="29"/>
      <c r="F4" s="66"/>
      <c r="G4" s="29"/>
      <c r="H4" s="29"/>
    </row>
    <row r="5" spans="1:8">
      <c r="A5" s="7" t="s">
        <v>5</v>
      </c>
      <c r="B5" s="7" t="s">
        <v>6</v>
      </c>
      <c r="C5" s="33" t="s">
        <v>7</v>
      </c>
      <c r="D5" s="33" t="s">
        <v>8</v>
      </c>
      <c r="E5" s="9" t="s">
        <v>9</v>
      </c>
      <c r="F5" s="64" t="s">
        <v>432</v>
      </c>
      <c r="G5" s="63" t="s">
        <v>433</v>
      </c>
      <c r="H5" s="54" t="s">
        <v>434</v>
      </c>
    </row>
    <row r="6" spans="1:8">
      <c r="A6" s="10"/>
      <c r="B6" s="10" t="s">
        <v>11</v>
      </c>
      <c r="C6" s="48"/>
      <c r="D6" s="48">
        <v>0</v>
      </c>
      <c r="E6" s="45"/>
      <c r="F6" s="63"/>
      <c r="G6" s="63"/>
      <c r="H6" s="45"/>
    </row>
    <row r="7" spans="1:8" s="71" customFormat="1">
      <c r="A7" s="74"/>
      <c r="B7" s="54"/>
      <c r="C7" s="56"/>
      <c r="D7" s="56"/>
      <c r="E7" s="56">
        <f>D6-C7+D7</f>
        <v>0</v>
      </c>
      <c r="F7" s="75"/>
      <c r="G7" s="76"/>
      <c r="H7" s="54"/>
    </row>
    <row r="8" spans="1:8">
      <c r="A8" s="74"/>
      <c r="B8" s="54"/>
      <c r="C8" s="56"/>
      <c r="D8" s="56"/>
      <c r="E8" s="56">
        <f t="shared" ref="E8:E39" si="0">E7-C8+D8</f>
        <v>0</v>
      </c>
      <c r="F8" s="75"/>
      <c r="G8" s="76"/>
      <c r="H8" s="54"/>
    </row>
    <row r="9" spans="1:8">
      <c r="A9" s="74"/>
      <c r="B9" s="54"/>
      <c r="C9" s="56"/>
      <c r="D9" s="56"/>
      <c r="E9" s="56">
        <f t="shared" si="0"/>
        <v>0</v>
      </c>
      <c r="F9" s="77"/>
      <c r="G9" s="76"/>
      <c r="H9" s="54"/>
    </row>
    <row r="10" spans="1:8">
      <c r="A10" s="74"/>
      <c r="B10" s="54"/>
      <c r="C10" s="56"/>
      <c r="D10" s="56"/>
      <c r="E10" s="56">
        <f t="shared" si="0"/>
        <v>0</v>
      </c>
      <c r="F10" s="77"/>
      <c r="G10" s="76"/>
      <c r="H10" s="54"/>
    </row>
    <row r="11" spans="1:8">
      <c r="A11" s="74"/>
      <c r="B11" s="54"/>
      <c r="C11" s="56"/>
      <c r="D11" s="56"/>
      <c r="E11" s="56">
        <f t="shared" si="0"/>
        <v>0</v>
      </c>
      <c r="F11" s="77"/>
      <c r="G11" s="76"/>
      <c r="H11" s="54"/>
    </row>
    <row r="12" spans="1:8">
      <c r="A12" s="74"/>
      <c r="B12" s="54"/>
      <c r="C12" s="56"/>
      <c r="D12" s="56"/>
      <c r="E12" s="56">
        <f t="shared" si="0"/>
        <v>0</v>
      </c>
      <c r="F12" s="77"/>
      <c r="G12" s="76"/>
      <c r="H12" s="54"/>
    </row>
    <row r="13" spans="1:8">
      <c r="A13" s="74"/>
      <c r="B13" s="54"/>
      <c r="C13" s="56"/>
      <c r="D13" s="56"/>
      <c r="E13" s="56">
        <f t="shared" si="0"/>
        <v>0</v>
      </c>
      <c r="F13" s="77"/>
      <c r="G13" s="76"/>
      <c r="H13" s="54"/>
    </row>
    <row r="14" spans="1:8">
      <c r="A14" s="74"/>
      <c r="B14" s="54"/>
      <c r="C14" s="56"/>
      <c r="D14" s="56"/>
      <c r="E14" s="56">
        <f t="shared" si="0"/>
        <v>0</v>
      </c>
      <c r="F14" s="75"/>
      <c r="G14" s="76"/>
      <c r="H14" s="54"/>
    </row>
    <row r="15" spans="1:8">
      <c r="A15" s="74"/>
      <c r="B15" s="54"/>
      <c r="C15" s="56"/>
      <c r="D15" s="56"/>
      <c r="E15" s="56">
        <f t="shared" si="0"/>
        <v>0</v>
      </c>
      <c r="F15" s="77"/>
      <c r="G15" s="76"/>
      <c r="H15" s="54"/>
    </row>
    <row r="16" spans="1:8">
      <c r="A16" s="74"/>
      <c r="B16" s="54"/>
      <c r="C16" s="56"/>
      <c r="D16" s="56"/>
      <c r="E16" s="56">
        <f t="shared" si="0"/>
        <v>0</v>
      </c>
      <c r="F16" s="77"/>
      <c r="G16" s="76"/>
      <c r="H16" s="54"/>
    </row>
    <row r="17" spans="1:8">
      <c r="A17" s="74"/>
      <c r="B17" s="54"/>
      <c r="C17" s="56"/>
      <c r="D17" s="56"/>
      <c r="E17" s="56">
        <f t="shared" si="0"/>
        <v>0</v>
      </c>
      <c r="F17" s="77"/>
      <c r="G17" s="76"/>
      <c r="H17" s="54"/>
    </row>
    <row r="18" spans="1:8">
      <c r="A18" s="74"/>
      <c r="B18" s="54"/>
      <c r="C18" s="56"/>
      <c r="D18" s="56"/>
      <c r="E18" s="56">
        <f t="shared" si="0"/>
        <v>0</v>
      </c>
      <c r="F18" s="77"/>
      <c r="G18" s="76"/>
      <c r="H18" s="54"/>
    </row>
    <row r="19" spans="1:8">
      <c r="A19" s="74"/>
      <c r="B19" s="54"/>
      <c r="C19" s="56"/>
      <c r="D19" s="56"/>
      <c r="E19" s="56">
        <f t="shared" si="0"/>
        <v>0</v>
      </c>
      <c r="F19" s="77"/>
      <c r="G19" s="76"/>
      <c r="H19" s="54"/>
    </row>
    <row r="20" spans="1:8">
      <c r="A20" s="74"/>
      <c r="B20" s="54"/>
      <c r="C20" s="56"/>
      <c r="D20" s="56"/>
      <c r="E20" s="56">
        <f t="shared" si="0"/>
        <v>0</v>
      </c>
      <c r="F20" s="77"/>
      <c r="G20" s="76"/>
      <c r="H20" s="54"/>
    </row>
    <row r="21" spans="1:8">
      <c r="A21" s="74"/>
      <c r="B21" s="54"/>
      <c r="C21" s="56"/>
      <c r="D21" s="56"/>
      <c r="E21" s="56">
        <f t="shared" si="0"/>
        <v>0</v>
      </c>
      <c r="F21" s="77"/>
      <c r="G21" s="76"/>
      <c r="H21" s="54"/>
    </row>
    <row r="22" spans="1:8">
      <c r="A22" s="74"/>
      <c r="B22" s="54"/>
      <c r="C22" s="56"/>
      <c r="D22" s="56"/>
      <c r="E22" s="56">
        <f t="shared" si="0"/>
        <v>0</v>
      </c>
      <c r="F22" s="77"/>
      <c r="G22" s="76"/>
      <c r="H22" s="54"/>
    </row>
    <row r="23" spans="1:8">
      <c r="A23" s="74"/>
      <c r="B23" s="54"/>
      <c r="C23" s="56"/>
      <c r="D23" s="56"/>
      <c r="E23" s="56">
        <f t="shared" si="0"/>
        <v>0</v>
      </c>
      <c r="F23" s="77"/>
      <c r="G23" s="76"/>
      <c r="H23" s="54"/>
    </row>
    <row r="24" spans="1:8">
      <c r="A24" s="74"/>
      <c r="B24" s="54"/>
      <c r="C24" s="56"/>
      <c r="D24" s="56"/>
      <c r="E24" s="56">
        <f t="shared" si="0"/>
        <v>0</v>
      </c>
      <c r="F24" s="77"/>
      <c r="G24" s="76"/>
      <c r="H24" s="54"/>
    </row>
    <row r="25" spans="1:8">
      <c r="A25" s="74"/>
      <c r="B25" s="54"/>
      <c r="C25" s="56"/>
      <c r="D25" s="56"/>
      <c r="E25" s="56">
        <f t="shared" si="0"/>
        <v>0</v>
      </c>
      <c r="F25" s="77"/>
      <c r="G25" s="76"/>
      <c r="H25" s="54"/>
    </row>
    <row r="26" spans="1:8">
      <c r="A26" s="74"/>
      <c r="B26" s="54"/>
      <c r="C26" s="56"/>
      <c r="D26" s="56"/>
      <c r="E26" s="56">
        <f t="shared" si="0"/>
        <v>0</v>
      </c>
      <c r="F26" s="77"/>
      <c r="G26" s="76"/>
      <c r="H26" s="54"/>
    </row>
    <row r="27" spans="1:8">
      <c r="A27" s="74"/>
      <c r="B27" s="54"/>
      <c r="C27" s="56"/>
      <c r="D27" s="56"/>
      <c r="E27" s="56">
        <f t="shared" si="0"/>
        <v>0</v>
      </c>
      <c r="F27" s="77"/>
      <c r="G27" s="76"/>
      <c r="H27" s="54"/>
    </row>
    <row r="28" spans="1:8">
      <c r="A28" s="74"/>
      <c r="B28" s="54"/>
      <c r="C28" s="56"/>
      <c r="D28" s="56"/>
      <c r="E28" s="56">
        <f t="shared" si="0"/>
        <v>0</v>
      </c>
      <c r="F28" s="77"/>
      <c r="G28" s="76"/>
      <c r="H28" s="54"/>
    </row>
    <row r="29" spans="1:8">
      <c r="A29" s="74"/>
      <c r="B29" s="54"/>
      <c r="C29" s="56"/>
      <c r="D29" s="56"/>
      <c r="E29" s="56">
        <f t="shared" si="0"/>
        <v>0</v>
      </c>
      <c r="F29" s="78"/>
      <c r="G29" s="54"/>
      <c r="H29" s="54"/>
    </row>
    <row r="30" spans="1:8">
      <c r="A30" s="74"/>
      <c r="B30" s="54"/>
      <c r="C30" s="56"/>
      <c r="D30" s="56"/>
      <c r="E30" s="56">
        <f t="shared" si="0"/>
        <v>0</v>
      </c>
      <c r="F30" s="77"/>
      <c r="G30" s="76"/>
      <c r="H30" s="54"/>
    </row>
    <row r="31" spans="1:8">
      <c r="A31" s="74"/>
      <c r="B31" s="54"/>
      <c r="C31" s="56"/>
      <c r="D31" s="56"/>
      <c r="E31" s="56">
        <f t="shared" si="0"/>
        <v>0</v>
      </c>
      <c r="F31" s="78"/>
      <c r="G31" s="54"/>
      <c r="H31" s="54"/>
    </row>
    <row r="32" spans="1:8">
      <c r="A32" s="74"/>
      <c r="B32" s="54"/>
      <c r="C32" s="56"/>
      <c r="D32" s="56"/>
      <c r="E32" s="56">
        <f t="shared" si="0"/>
        <v>0</v>
      </c>
      <c r="F32" s="78"/>
      <c r="G32" s="79"/>
      <c r="H32" s="54"/>
    </row>
    <row r="33" spans="1:8">
      <c r="A33" s="74"/>
      <c r="B33" s="54"/>
      <c r="C33" s="56"/>
      <c r="D33" s="56"/>
      <c r="E33" s="56">
        <f t="shared" si="0"/>
        <v>0</v>
      </c>
      <c r="F33" s="78"/>
      <c r="G33" s="79"/>
      <c r="H33" s="54"/>
    </row>
    <row r="34" spans="1:8">
      <c r="A34" s="74"/>
      <c r="B34" s="54"/>
      <c r="C34" s="56"/>
      <c r="D34" s="56"/>
      <c r="E34" s="56">
        <f t="shared" si="0"/>
        <v>0</v>
      </c>
      <c r="F34" s="78"/>
      <c r="G34" s="54"/>
      <c r="H34" s="54"/>
    </row>
    <row r="35" spans="1:8">
      <c r="A35" s="74"/>
      <c r="B35" s="54"/>
      <c r="C35" s="56"/>
      <c r="D35" s="56"/>
      <c r="E35" s="56">
        <f t="shared" si="0"/>
        <v>0</v>
      </c>
      <c r="F35" s="77"/>
      <c r="G35" s="76"/>
      <c r="H35" s="54"/>
    </row>
    <row r="36" spans="1:8">
      <c r="A36" s="74"/>
      <c r="B36" s="54"/>
      <c r="C36" s="56"/>
      <c r="D36" s="56"/>
      <c r="E36" s="56">
        <f t="shared" si="0"/>
        <v>0</v>
      </c>
      <c r="F36" s="77"/>
      <c r="G36" s="76"/>
      <c r="H36" s="54"/>
    </row>
    <row r="37" spans="1:8">
      <c r="A37" s="74"/>
      <c r="B37" s="54"/>
      <c r="C37" s="56"/>
      <c r="D37" s="56"/>
      <c r="E37" s="56">
        <f t="shared" si="0"/>
        <v>0</v>
      </c>
      <c r="F37" s="77"/>
      <c r="G37" s="76"/>
      <c r="H37" s="54"/>
    </row>
    <row r="38" spans="1:8">
      <c r="A38" s="74"/>
      <c r="B38" s="54"/>
      <c r="C38" s="56"/>
      <c r="D38" s="56"/>
      <c r="E38" s="56">
        <f t="shared" si="0"/>
        <v>0</v>
      </c>
      <c r="F38" s="78"/>
      <c r="G38" s="54"/>
      <c r="H38" s="54"/>
    </row>
    <row r="39" spans="1:8">
      <c r="A39" s="74"/>
      <c r="B39" s="54"/>
      <c r="C39" s="56"/>
      <c r="D39" s="56"/>
      <c r="E39" s="56">
        <f t="shared" si="0"/>
        <v>0</v>
      </c>
      <c r="F39" s="78"/>
      <c r="G39" s="80"/>
      <c r="H39" s="54"/>
    </row>
    <row r="40" spans="1:8">
      <c r="A40" s="74"/>
      <c r="B40" s="54"/>
      <c r="C40" s="56"/>
      <c r="D40" s="56"/>
      <c r="E40" s="56">
        <f t="shared" ref="E40:E71" si="1">E39-C40+D40</f>
        <v>0</v>
      </c>
      <c r="F40" s="77"/>
      <c r="G40" s="76"/>
      <c r="H40" s="54"/>
    </row>
    <row r="41" spans="1:8">
      <c r="A41" s="74"/>
      <c r="B41" s="54"/>
      <c r="C41" s="56"/>
      <c r="D41" s="56"/>
      <c r="E41" s="56">
        <f t="shared" si="1"/>
        <v>0</v>
      </c>
      <c r="F41" s="77"/>
      <c r="G41" s="76"/>
      <c r="H41" s="54"/>
    </row>
    <row r="42" spans="1:8">
      <c r="A42" s="74"/>
      <c r="B42" s="54"/>
      <c r="C42" s="56"/>
      <c r="D42" s="56"/>
      <c r="E42" s="56">
        <f t="shared" si="1"/>
        <v>0</v>
      </c>
      <c r="F42" s="77"/>
      <c r="G42" s="76"/>
      <c r="H42" s="54"/>
    </row>
    <row r="43" spans="1:8">
      <c r="A43" s="74"/>
      <c r="B43" s="54"/>
      <c r="C43" s="56"/>
      <c r="D43" s="56"/>
      <c r="E43" s="56">
        <f t="shared" si="1"/>
        <v>0</v>
      </c>
      <c r="F43" s="77"/>
      <c r="G43" s="76"/>
      <c r="H43" s="54"/>
    </row>
    <row r="44" spans="1:8">
      <c r="A44" s="74"/>
      <c r="B44" s="54"/>
      <c r="C44" s="56"/>
      <c r="D44" s="56"/>
      <c r="E44" s="56">
        <f t="shared" si="1"/>
        <v>0</v>
      </c>
      <c r="F44" s="77"/>
      <c r="G44" s="76"/>
      <c r="H44" s="54"/>
    </row>
    <row r="45" spans="1:8">
      <c r="A45" s="74"/>
      <c r="B45" s="54"/>
      <c r="C45" s="56"/>
      <c r="D45" s="56"/>
      <c r="E45" s="56">
        <f t="shared" si="1"/>
        <v>0</v>
      </c>
      <c r="F45" s="77"/>
      <c r="G45" s="76"/>
      <c r="H45" s="54"/>
    </row>
    <row r="46" spans="1:8">
      <c r="A46" s="74"/>
      <c r="B46" s="54"/>
      <c r="C46" s="56"/>
      <c r="D46" s="56"/>
      <c r="E46" s="56">
        <f t="shared" si="1"/>
        <v>0</v>
      </c>
      <c r="F46" s="77"/>
      <c r="G46" s="76"/>
      <c r="H46" s="54"/>
    </row>
    <row r="47" spans="1:8">
      <c r="A47" s="74"/>
      <c r="B47" s="54"/>
      <c r="C47" s="56"/>
      <c r="D47" s="56"/>
      <c r="E47" s="56">
        <f t="shared" si="1"/>
        <v>0</v>
      </c>
      <c r="F47" s="77"/>
      <c r="G47" s="76"/>
      <c r="H47" s="54"/>
    </row>
    <row r="48" spans="1:8">
      <c r="A48" s="74"/>
      <c r="B48" s="54"/>
      <c r="C48" s="56"/>
      <c r="D48" s="56"/>
      <c r="E48" s="56">
        <f t="shared" si="1"/>
        <v>0</v>
      </c>
      <c r="F48" s="77"/>
      <c r="G48" s="76"/>
      <c r="H48" s="54"/>
    </row>
    <row r="49" spans="1:8">
      <c r="A49" s="74"/>
      <c r="B49" s="54"/>
      <c r="C49" s="56"/>
      <c r="D49" s="56"/>
      <c r="E49" s="56">
        <f t="shared" si="1"/>
        <v>0</v>
      </c>
      <c r="F49" s="78"/>
      <c r="G49" s="54"/>
      <c r="H49" s="54"/>
    </row>
    <row r="50" spans="1:8">
      <c r="A50" s="74"/>
      <c r="B50" s="54"/>
      <c r="C50" s="56"/>
      <c r="D50" s="56"/>
      <c r="E50" s="56">
        <f t="shared" si="1"/>
        <v>0</v>
      </c>
      <c r="F50" s="77"/>
      <c r="G50" s="76"/>
      <c r="H50" s="54"/>
    </row>
    <row r="51" spans="1:8">
      <c r="A51" s="74"/>
      <c r="B51" s="54"/>
      <c r="C51" s="56"/>
      <c r="D51" s="56"/>
      <c r="E51" s="56">
        <f t="shared" si="1"/>
        <v>0</v>
      </c>
      <c r="F51" s="77"/>
      <c r="G51" s="76"/>
      <c r="H51" s="54"/>
    </row>
    <row r="52" spans="1:8">
      <c r="A52" s="74"/>
      <c r="B52" s="54"/>
      <c r="C52" s="56"/>
      <c r="D52" s="56"/>
      <c r="E52" s="56">
        <f t="shared" si="1"/>
        <v>0</v>
      </c>
      <c r="F52" s="77"/>
      <c r="G52" s="76"/>
      <c r="H52" s="54"/>
    </row>
    <row r="53" spans="1:8">
      <c r="A53" s="74"/>
      <c r="B53" s="54"/>
      <c r="C53" s="56"/>
      <c r="D53" s="56"/>
      <c r="E53" s="56">
        <f t="shared" si="1"/>
        <v>0</v>
      </c>
      <c r="F53" s="77"/>
      <c r="G53" s="76"/>
      <c r="H53" s="54"/>
    </row>
    <row r="54" spans="1:8">
      <c r="A54" s="74"/>
      <c r="B54" s="54"/>
      <c r="C54" s="56"/>
      <c r="D54" s="56"/>
      <c r="E54" s="56">
        <f t="shared" si="1"/>
        <v>0</v>
      </c>
      <c r="F54" s="77"/>
      <c r="G54" s="76"/>
      <c r="H54" s="54"/>
    </row>
    <row r="55" spans="1:8">
      <c r="A55" s="74"/>
      <c r="B55" s="54"/>
      <c r="C55" s="56"/>
      <c r="D55" s="56"/>
      <c r="E55" s="56">
        <f t="shared" si="1"/>
        <v>0</v>
      </c>
      <c r="F55" s="77"/>
      <c r="G55" s="76"/>
      <c r="H55" s="54"/>
    </row>
    <row r="56" spans="1:8">
      <c r="A56" s="74"/>
      <c r="B56" s="54"/>
      <c r="C56" s="56"/>
      <c r="D56" s="56"/>
      <c r="E56" s="56">
        <f t="shared" si="1"/>
        <v>0</v>
      </c>
      <c r="F56" s="77"/>
      <c r="G56" s="76"/>
      <c r="H56" s="54"/>
    </row>
    <row r="57" spans="1:8">
      <c r="A57" s="74"/>
      <c r="B57" s="54"/>
      <c r="C57" s="56"/>
      <c r="D57" s="56"/>
      <c r="E57" s="56">
        <f t="shared" si="1"/>
        <v>0</v>
      </c>
      <c r="F57" s="77"/>
      <c r="G57" s="76"/>
      <c r="H57" s="54"/>
    </row>
    <row r="58" spans="1:8">
      <c r="A58" s="73"/>
      <c r="B58" s="54"/>
      <c r="C58" s="56"/>
      <c r="D58" s="56"/>
      <c r="E58" s="56">
        <f t="shared" si="1"/>
        <v>0</v>
      </c>
      <c r="F58" s="77"/>
      <c r="G58" s="76"/>
      <c r="H58" s="54"/>
    </row>
    <row r="59" spans="1:8">
      <c r="A59" s="73"/>
      <c r="B59" s="54"/>
      <c r="C59" s="56"/>
      <c r="D59" s="56"/>
      <c r="E59" s="56">
        <f t="shared" si="1"/>
        <v>0</v>
      </c>
      <c r="F59" s="77"/>
      <c r="G59" s="76"/>
      <c r="H59" s="54"/>
    </row>
    <row r="60" spans="1:8" s="71" customFormat="1">
      <c r="A60" s="73"/>
      <c r="B60" s="54"/>
      <c r="C60" s="56"/>
      <c r="D60" s="56"/>
      <c r="E60" s="56">
        <f t="shared" si="1"/>
        <v>0</v>
      </c>
      <c r="F60" s="77"/>
      <c r="G60" s="76"/>
      <c r="H60" s="54"/>
    </row>
    <row r="61" spans="1:8" s="71" customFormat="1">
      <c r="A61" s="73"/>
      <c r="B61" s="54"/>
      <c r="C61" s="56"/>
      <c r="D61" s="56"/>
      <c r="E61" s="56">
        <f t="shared" si="1"/>
        <v>0</v>
      </c>
      <c r="F61" s="77"/>
      <c r="G61" s="76"/>
      <c r="H61" s="54"/>
    </row>
    <row r="62" spans="1:8" s="71" customFormat="1">
      <c r="A62" s="73"/>
      <c r="B62" s="54"/>
      <c r="C62" s="56"/>
      <c r="D62" s="56"/>
      <c r="E62" s="56">
        <f t="shared" si="1"/>
        <v>0</v>
      </c>
      <c r="F62" s="77"/>
      <c r="G62" s="76"/>
      <c r="H62" s="54"/>
    </row>
    <row r="63" spans="1:8" s="71" customFormat="1">
      <c r="A63" s="73"/>
      <c r="B63" s="54"/>
      <c r="C63" s="56"/>
      <c r="D63" s="56"/>
      <c r="E63" s="56">
        <f t="shared" si="1"/>
        <v>0</v>
      </c>
      <c r="F63" s="77"/>
      <c r="G63" s="76"/>
      <c r="H63" s="54"/>
    </row>
    <row r="64" spans="1:8" s="71" customFormat="1">
      <c r="A64" s="73"/>
      <c r="B64" s="54"/>
      <c r="C64" s="56"/>
      <c r="D64" s="56"/>
      <c r="E64" s="56">
        <f t="shared" si="1"/>
        <v>0</v>
      </c>
      <c r="F64" s="77"/>
      <c r="G64" s="76"/>
      <c r="H64" s="54"/>
    </row>
    <row r="65" spans="1:8" s="71" customFormat="1">
      <c r="A65" s="73"/>
      <c r="B65" s="54"/>
      <c r="C65" s="56"/>
      <c r="D65" s="56"/>
      <c r="E65" s="56">
        <f t="shared" si="1"/>
        <v>0</v>
      </c>
      <c r="F65" s="77"/>
      <c r="G65" s="76"/>
      <c r="H65" s="54"/>
    </row>
    <row r="66" spans="1:8" s="71" customFormat="1">
      <c r="A66" s="73"/>
      <c r="B66" s="54"/>
      <c r="C66" s="56"/>
      <c r="D66" s="56"/>
      <c r="E66" s="56">
        <f t="shared" si="1"/>
        <v>0</v>
      </c>
      <c r="F66" s="77"/>
      <c r="G66" s="76"/>
      <c r="H66" s="54"/>
    </row>
    <row r="67" spans="1:8" s="71" customFormat="1">
      <c r="A67" s="73"/>
      <c r="B67" s="54"/>
      <c r="C67" s="56"/>
      <c r="D67" s="56"/>
      <c r="E67" s="56">
        <f t="shared" si="1"/>
        <v>0</v>
      </c>
      <c r="F67" s="77"/>
      <c r="G67" s="76"/>
      <c r="H67" s="54"/>
    </row>
    <row r="68" spans="1:8" s="71" customFormat="1">
      <c r="A68" s="73"/>
      <c r="B68" s="54"/>
      <c r="C68" s="56"/>
      <c r="D68" s="56"/>
      <c r="E68" s="56">
        <f t="shared" si="1"/>
        <v>0</v>
      </c>
      <c r="F68" s="77"/>
      <c r="G68" s="76"/>
      <c r="H68" s="54"/>
    </row>
    <row r="69" spans="1:8" s="71" customFormat="1">
      <c r="A69" s="73"/>
      <c r="B69" s="54"/>
      <c r="C69" s="56"/>
      <c r="D69" s="56"/>
      <c r="E69" s="56">
        <f t="shared" si="1"/>
        <v>0</v>
      </c>
      <c r="F69" s="77"/>
      <c r="G69" s="76"/>
      <c r="H69" s="54"/>
    </row>
    <row r="70" spans="1:8">
      <c r="A70" s="73"/>
      <c r="B70" s="54"/>
      <c r="C70" s="56"/>
      <c r="D70" s="56"/>
      <c r="E70" s="56">
        <f t="shared" si="1"/>
        <v>0</v>
      </c>
      <c r="F70" s="75"/>
      <c r="G70" s="76"/>
      <c r="H70" s="54"/>
    </row>
    <row r="71" spans="1:8">
      <c r="A71" s="74"/>
      <c r="B71" s="54"/>
      <c r="C71" s="56"/>
      <c r="D71" s="56"/>
      <c r="E71" s="56">
        <f t="shared" si="1"/>
        <v>0</v>
      </c>
      <c r="F71" s="77"/>
      <c r="G71" s="76"/>
      <c r="H71" s="54"/>
    </row>
    <row r="72" spans="1:8">
      <c r="A72" s="74"/>
      <c r="B72" s="54"/>
      <c r="C72" s="56"/>
      <c r="D72" s="56"/>
      <c r="E72" s="56">
        <f t="shared" ref="E72:E103" si="2">E71-C72+D72</f>
        <v>0</v>
      </c>
      <c r="F72" s="77"/>
      <c r="G72" s="76"/>
      <c r="H72" s="54"/>
    </row>
    <row r="73" spans="1:8" s="72" customFormat="1">
      <c r="A73" s="74"/>
      <c r="B73" s="54"/>
      <c r="C73" s="56"/>
      <c r="D73" s="56"/>
      <c r="E73" s="56">
        <f t="shared" si="2"/>
        <v>0</v>
      </c>
      <c r="F73" s="77"/>
      <c r="G73" s="76"/>
      <c r="H73" s="54"/>
    </row>
    <row r="74" spans="1:8">
      <c r="A74" s="74"/>
      <c r="B74" s="54"/>
      <c r="C74" s="56"/>
      <c r="D74" s="56"/>
      <c r="E74" s="56">
        <f t="shared" si="2"/>
        <v>0</v>
      </c>
      <c r="F74" s="77"/>
      <c r="G74" s="76"/>
      <c r="H74" s="54"/>
    </row>
    <row r="75" spans="1:8">
      <c r="A75" s="74"/>
      <c r="B75" s="54"/>
      <c r="C75" s="56"/>
      <c r="D75" s="56"/>
      <c r="E75" s="56">
        <f t="shared" si="2"/>
        <v>0</v>
      </c>
      <c r="F75" s="77"/>
      <c r="G75" s="76"/>
      <c r="H75" s="54"/>
    </row>
    <row r="76" spans="1:8">
      <c r="A76" s="74"/>
      <c r="B76" s="54"/>
      <c r="C76" s="56"/>
      <c r="D76" s="56"/>
      <c r="E76" s="56">
        <f t="shared" si="2"/>
        <v>0</v>
      </c>
      <c r="F76" s="77"/>
      <c r="G76" s="76"/>
      <c r="H76" s="54"/>
    </row>
    <row r="77" spans="1:8">
      <c r="A77" s="74"/>
      <c r="B77" s="54"/>
      <c r="C77" s="56"/>
      <c r="D77" s="56"/>
      <c r="E77" s="56">
        <f t="shared" si="2"/>
        <v>0</v>
      </c>
      <c r="F77" s="77"/>
      <c r="G77" s="76"/>
      <c r="H77" s="54"/>
    </row>
    <row r="78" spans="1:8">
      <c r="A78" s="74"/>
      <c r="B78" s="54"/>
      <c r="C78" s="56"/>
      <c r="D78" s="56"/>
      <c r="E78" s="56">
        <f t="shared" si="2"/>
        <v>0</v>
      </c>
      <c r="F78" s="77"/>
      <c r="G78" s="76"/>
      <c r="H78" s="54"/>
    </row>
    <row r="79" spans="1:8">
      <c r="A79" s="74"/>
      <c r="B79" s="54"/>
      <c r="C79" s="56"/>
      <c r="D79" s="56"/>
      <c r="E79" s="56">
        <f t="shared" si="2"/>
        <v>0</v>
      </c>
      <c r="F79" s="77"/>
      <c r="G79" s="76"/>
      <c r="H79" s="54"/>
    </row>
    <row r="80" spans="1:8">
      <c r="A80" s="74"/>
      <c r="B80" s="54"/>
      <c r="C80" s="56"/>
      <c r="D80" s="56"/>
      <c r="E80" s="56">
        <f t="shared" si="2"/>
        <v>0</v>
      </c>
      <c r="F80" s="77"/>
      <c r="G80" s="76"/>
      <c r="H80" s="54"/>
    </row>
    <row r="81" spans="1:8">
      <c r="A81" s="74"/>
      <c r="B81" s="54"/>
      <c r="C81" s="56"/>
      <c r="D81" s="56"/>
      <c r="E81" s="56">
        <f t="shared" si="2"/>
        <v>0</v>
      </c>
      <c r="F81" s="77"/>
      <c r="G81" s="76"/>
      <c r="H81" s="54"/>
    </row>
    <row r="82" spans="1:8">
      <c r="A82" s="74"/>
      <c r="B82" s="54"/>
      <c r="C82" s="56"/>
      <c r="D82" s="56"/>
      <c r="E82" s="56">
        <f t="shared" si="2"/>
        <v>0</v>
      </c>
      <c r="F82" s="77"/>
      <c r="G82" s="76"/>
      <c r="H82" s="54"/>
    </row>
    <row r="83" spans="1:8">
      <c r="A83" s="74"/>
      <c r="B83" s="54"/>
      <c r="C83" s="56"/>
      <c r="D83" s="56"/>
      <c r="E83" s="56">
        <f t="shared" si="2"/>
        <v>0</v>
      </c>
      <c r="F83" s="77"/>
      <c r="G83" s="76"/>
      <c r="H83" s="54"/>
    </row>
    <row r="84" spans="1:8">
      <c r="A84" s="74"/>
      <c r="B84" s="54"/>
      <c r="C84" s="56"/>
      <c r="D84" s="56"/>
      <c r="E84" s="56">
        <f t="shared" si="2"/>
        <v>0</v>
      </c>
      <c r="F84" s="77"/>
      <c r="G84" s="76"/>
      <c r="H84" s="54"/>
    </row>
    <row r="85" spans="1:8">
      <c r="A85" s="74"/>
      <c r="B85" s="54"/>
      <c r="C85" s="56"/>
      <c r="D85" s="56"/>
      <c r="E85" s="56">
        <f t="shared" si="2"/>
        <v>0</v>
      </c>
      <c r="F85" s="77"/>
      <c r="G85" s="76"/>
      <c r="H85" s="54"/>
    </row>
    <row r="86" spans="1:8">
      <c r="A86" s="74"/>
      <c r="B86" s="54"/>
      <c r="C86" s="56"/>
      <c r="D86" s="56"/>
      <c r="E86" s="56">
        <f t="shared" si="2"/>
        <v>0</v>
      </c>
      <c r="F86" s="77"/>
      <c r="G86" s="76"/>
      <c r="H86" s="54"/>
    </row>
    <row r="87" spans="1:8">
      <c r="A87" s="74"/>
      <c r="B87" s="54"/>
      <c r="C87" s="56"/>
      <c r="D87" s="56"/>
      <c r="E87" s="56">
        <f t="shared" si="2"/>
        <v>0</v>
      </c>
      <c r="F87" s="77"/>
      <c r="G87" s="76"/>
      <c r="H87" s="54"/>
    </row>
    <row r="88" spans="1:8">
      <c r="A88" s="74"/>
      <c r="B88" s="54"/>
      <c r="C88" s="56"/>
      <c r="D88" s="56"/>
      <c r="E88" s="56">
        <f t="shared" si="2"/>
        <v>0</v>
      </c>
      <c r="F88" s="77"/>
      <c r="G88" s="76"/>
      <c r="H88" s="54"/>
    </row>
    <row r="89" spans="1:8">
      <c r="A89" s="74"/>
      <c r="B89" s="54"/>
      <c r="C89" s="56"/>
      <c r="D89" s="56"/>
      <c r="E89" s="56">
        <f t="shared" si="2"/>
        <v>0</v>
      </c>
      <c r="F89" s="77"/>
      <c r="G89" s="76"/>
      <c r="H89" s="54"/>
    </row>
    <row r="90" spans="1:8">
      <c r="A90" s="74"/>
      <c r="B90" s="54"/>
      <c r="C90" s="56"/>
      <c r="D90" s="56"/>
      <c r="E90" s="56">
        <f t="shared" si="2"/>
        <v>0</v>
      </c>
      <c r="F90" s="77"/>
      <c r="G90" s="76"/>
      <c r="H90" s="54"/>
    </row>
    <row r="91" spans="1:8">
      <c r="A91" s="74"/>
      <c r="B91" s="54"/>
      <c r="C91" s="56"/>
      <c r="D91" s="56"/>
      <c r="E91" s="56">
        <f t="shared" si="2"/>
        <v>0</v>
      </c>
      <c r="F91" s="77"/>
      <c r="G91" s="76"/>
      <c r="H91" s="54"/>
    </row>
    <row r="92" spans="1:8">
      <c r="A92" s="74"/>
      <c r="B92" s="54"/>
      <c r="C92" s="56"/>
      <c r="D92" s="56"/>
      <c r="E92" s="56">
        <f t="shared" si="2"/>
        <v>0</v>
      </c>
      <c r="F92" s="77"/>
      <c r="G92" s="76"/>
      <c r="H92" s="54"/>
    </row>
    <row r="93" spans="1:8">
      <c r="A93" s="74"/>
      <c r="B93" s="54"/>
      <c r="C93" s="56"/>
      <c r="D93" s="56"/>
      <c r="E93" s="56">
        <f t="shared" si="2"/>
        <v>0</v>
      </c>
      <c r="F93" s="78"/>
      <c r="G93" s="76"/>
      <c r="H93" s="54"/>
    </row>
    <row r="94" spans="1:8">
      <c r="A94" s="74"/>
      <c r="B94" s="54"/>
      <c r="C94" s="56"/>
      <c r="D94" s="56"/>
      <c r="E94" s="56">
        <f t="shared" si="2"/>
        <v>0</v>
      </c>
      <c r="F94" s="77"/>
      <c r="G94" s="81"/>
      <c r="H94" s="54"/>
    </row>
    <row r="95" spans="1:8">
      <c r="A95" s="74"/>
      <c r="B95" s="54"/>
      <c r="C95" s="56"/>
      <c r="D95" s="56"/>
      <c r="E95" s="56">
        <f t="shared" si="2"/>
        <v>0</v>
      </c>
      <c r="F95" s="77"/>
      <c r="G95" s="76"/>
      <c r="H95" s="54"/>
    </row>
    <row r="96" spans="1:8">
      <c r="A96" s="74"/>
      <c r="B96" s="54"/>
      <c r="C96" s="56"/>
      <c r="D96" s="56"/>
      <c r="E96" s="56">
        <f t="shared" si="2"/>
        <v>0</v>
      </c>
      <c r="F96" s="77"/>
      <c r="G96" s="76"/>
      <c r="H96" s="54"/>
    </row>
    <row r="97" spans="1:8">
      <c r="A97" s="74"/>
      <c r="B97" s="54"/>
      <c r="C97" s="56"/>
      <c r="D97" s="56"/>
      <c r="E97" s="56">
        <f t="shared" si="2"/>
        <v>0</v>
      </c>
      <c r="F97" s="77"/>
      <c r="G97" s="69"/>
      <c r="H97" s="82"/>
    </row>
    <row r="98" spans="1:8">
      <c r="A98" s="74"/>
      <c r="B98" s="54"/>
      <c r="C98" s="56"/>
      <c r="D98" s="56"/>
      <c r="E98" s="56">
        <f t="shared" si="2"/>
        <v>0</v>
      </c>
      <c r="F98" s="77"/>
      <c r="G98" s="76"/>
      <c r="H98" s="82"/>
    </row>
    <row r="99" spans="1:8">
      <c r="A99" s="74"/>
      <c r="B99" s="54"/>
      <c r="C99" s="56"/>
      <c r="D99" s="56"/>
      <c r="E99" s="56">
        <f t="shared" si="2"/>
        <v>0</v>
      </c>
      <c r="F99" s="77"/>
      <c r="G99" s="76"/>
      <c r="H99" s="54"/>
    </row>
    <row r="100" spans="1:8" s="71" customFormat="1">
      <c r="A100" s="74"/>
      <c r="B100" s="54"/>
      <c r="C100" s="56"/>
      <c r="D100" s="56"/>
      <c r="E100" s="56">
        <f t="shared" si="2"/>
        <v>0</v>
      </c>
      <c r="F100" s="77"/>
      <c r="G100" s="69"/>
      <c r="H100" s="82"/>
    </row>
    <row r="101" spans="1:8">
      <c r="A101" s="74"/>
      <c r="B101" s="54"/>
      <c r="C101" s="56"/>
      <c r="D101" s="56"/>
      <c r="E101" s="56">
        <f t="shared" si="2"/>
        <v>0</v>
      </c>
      <c r="F101" s="77"/>
      <c r="G101" s="76"/>
      <c r="H101" s="54"/>
    </row>
    <row r="102" spans="1:8">
      <c r="A102" s="74"/>
      <c r="B102" s="54"/>
      <c r="C102" s="56"/>
      <c r="D102" s="56"/>
      <c r="E102" s="56">
        <f t="shared" si="2"/>
        <v>0</v>
      </c>
      <c r="F102" s="77"/>
      <c r="G102" s="76"/>
      <c r="H102" s="54"/>
    </row>
    <row r="103" spans="1:8" s="71" customFormat="1">
      <c r="A103" s="74"/>
      <c r="B103" s="54"/>
      <c r="C103" s="56"/>
      <c r="D103" s="56"/>
      <c r="E103" s="56">
        <f t="shared" si="2"/>
        <v>0</v>
      </c>
      <c r="F103" s="77"/>
      <c r="G103" s="69"/>
      <c r="H103" s="82"/>
    </row>
    <row r="104" spans="1:8">
      <c r="A104" s="74"/>
      <c r="B104" s="54"/>
      <c r="C104" s="56"/>
      <c r="D104" s="56"/>
      <c r="E104" s="56">
        <f t="shared" ref="E104:E135" si="3">E103-C104+D104</f>
        <v>0</v>
      </c>
      <c r="F104" s="77"/>
      <c r="G104" s="76"/>
      <c r="H104" s="54"/>
    </row>
    <row r="105" spans="1:8">
      <c r="A105" s="74"/>
      <c r="B105" s="54"/>
      <c r="C105" s="56"/>
      <c r="D105" s="56"/>
      <c r="E105" s="56">
        <f t="shared" si="3"/>
        <v>0</v>
      </c>
      <c r="F105" s="77"/>
      <c r="G105" s="76"/>
      <c r="H105" s="54"/>
    </row>
    <row r="106" spans="1:8">
      <c r="A106" s="74"/>
      <c r="B106" s="54"/>
      <c r="C106" s="56"/>
      <c r="D106" s="56"/>
      <c r="E106" s="56">
        <f t="shared" si="3"/>
        <v>0</v>
      </c>
      <c r="F106" s="77"/>
      <c r="G106" s="76"/>
      <c r="H106" s="54"/>
    </row>
    <row r="107" spans="1:8" s="71" customFormat="1">
      <c r="A107" s="74"/>
      <c r="B107" s="54"/>
      <c r="C107" s="56"/>
      <c r="D107" s="56"/>
      <c r="E107" s="56">
        <f t="shared" si="3"/>
        <v>0</v>
      </c>
      <c r="F107" s="77"/>
      <c r="G107" s="76"/>
      <c r="H107" s="54"/>
    </row>
    <row r="108" spans="1:8" s="71" customFormat="1">
      <c r="A108" s="74"/>
      <c r="B108" s="54"/>
      <c r="C108" s="56"/>
      <c r="D108" s="56"/>
      <c r="E108" s="56">
        <f t="shared" si="3"/>
        <v>0</v>
      </c>
      <c r="F108" s="77"/>
      <c r="G108" s="76"/>
      <c r="H108" s="54"/>
    </row>
    <row r="109" spans="1:8" s="71" customFormat="1">
      <c r="A109" s="74"/>
      <c r="B109" s="54"/>
      <c r="C109" s="56"/>
      <c r="D109" s="56"/>
      <c r="E109" s="56">
        <f t="shared" si="3"/>
        <v>0</v>
      </c>
      <c r="F109" s="77"/>
      <c r="G109" s="76"/>
      <c r="H109" s="54"/>
    </row>
    <row r="110" spans="1:8">
      <c r="A110" s="74"/>
      <c r="B110" s="54"/>
      <c r="C110" s="56"/>
      <c r="D110" s="56"/>
      <c r="E110" s="56">
        <f t="shared" si="3"/>
        <v>0</v>
      </c>
      <c r="F110" s="77"/>
      <c r="G110" s="76"/>
      <c r="H110" s="54"/>
    </row>
    <row r="111" spans="1:8" s="71" customFormat="1">
      <c r="A111" s="74"/>
      <c r="B111" s="54"/>
      <c r="C111" s="56"/>
      <c r="D111" s="56"/>
      <c r="E111" s="56">
        <f t="shared" si="3"/>
        <v>0</v>
      </c>
      <c r="F111" s="77"/>
      <c r="G111" s="76"/>
      <c r="H111" s="54"/>
    </row>
    <row r="112" spans="1:8">
      <c r="A112" s="74"/>
      <c r="B112" s="54"/>
      <c r="C112" s="56"/>
      <c r="D112" s="56"/>
      <c r="E112" s="56">
        <f t="shared" si="3"/>
        <v>0</v>
      </c>
      <c r="F112" s="77"/>
      <c r="G112" s="76"/>
      <c r="H112" s="54"/>
    </row>
    <row r="113" spans="1:8">
      <c r="A113" s="74"/>
      <c r="B113" s="54"/>
      <c r="C113" s="56"/>
      <c r="D113" s="56"/>
      <c r="E113" s="56">
        <f t="shared" si="3"/>
        <v>0</v>
      </c>
      <c r="F113" s="77"/>
      <c r="G113" s="76"/>
      <c r="H113" s="54"/>
    </row>
    <row r="114" spans="1:8">
      <c r="A114" s="74"/>
      <c r="B114" s="54"/>
      <c r="C114" s="56"/>
      <c r="D114" s="56"/>
      <c r="E114" s="56">
        <f t="shared" si="3"/>
        <v>0</v>
      </c>
      <c r="F114" s="77"/>
      <c r="G114" s="76"/>
      <c r="H114" s="54"/>
    </row>
    <row r="115" spans="1:8">
      <c r="A115" s="74"/>
      <c r="B115" s="54"/>
      <c r="C115" s="56"/>
      <c r="D115" s="56"/>
      <c r="E115" s="56">
        <f t="shared" si="3"/>
        <v>0</v>
      </c>
      <c r="F115" s="77"/>
      <c r="G115" s="76"/>
      <c r="H115" s="54"/>
    </row>
    <row r="116" spans="1:8">
      <c r="A116" s="74"/>
      <c r="B116" s="54"/>
      <c r="C116" s="56"/>
      <c r="D116" s="56"/>
      <c r="E116" s="56">
        <f t="shared" si="3"/>
        <v>0</v>
      </c>
      <c r="F116" s="77"/>
      <c r="G116" s="76"/>
      <c r="H116" s="54"/>
    </row>
    <row r="117" spans="1:8">
      <c r="A117" s="74"/>
      <c r="B117" s="54"/>
      <c r="C117" s="56"/>
      <c r="D117" s="56"/>
      <c r="E117" s="56">
        <f t="shared" si="3"/>
        <v>0</v>
      </c>
      <c r="F117" s="77"/>
      <c r="G117" s="76"/>
      <c r="H117" s="54"/>
    </row>
    <row r="118" spans="1:8">
      <c r="A118" s="74"/>
      <c r="B118" s="54"/>
      <c r="C118" s="56"/>
      <c r="D118" s="56"/>
      <c r="E118" s="56">
        <f t="shared" si="3"/>
        <v>0</v>
      </c>
      <c r="F118" s="77"/>
      <c r="G118" s="76"/>
      <c r="H118" s="54"/>
    </row>
    <row r="119" spans="1:8">
      <c r="A119" s="74"/>
      <c r="B119" s="54"/>
      <c r="C119" s="56"/>
      <c r="D119" s="56"/>
      <c r="E119" s="56">
        <f t="shared" si="3"/>
        <v>0</v>
      </c>
      <c r="F119" s="77"/>
      <c r="G119" s="69"/>
      <c r="H119" s="54"/>
    </row>
    <row r="120" spans="1:8">
      <c r="A120" s="74"/>
      <c r="B120" s="54"/>
      <c r="C120" s="56"/>
      <c r="D120" s="56"/>
      <c r="E120" s="56">
        <f t="shared" si="3"/>
        <v>0</v>
      </c>
      <c r="F120" s="77"/>
      <c r="G120" s="69"/>
      <c r="H120" s="54"/>
    </row>
    <row r="121" spans="1:8">
      <c r="A121" s="74"/>
      <c r="B121" s="54"/>
      <c r="C121" s="56"/>
      <c r="D121" s="56"/>
      <c r="E121" s="56">
        <f t="shared" si="3"/>
        <v>0</v>
      </c>
      <c r="F121" s="77"/>
      <c r="G121" s="69"/>
      <c r="H121" s="54"/>
    </row>
    <row r="122" spans="1:8">
      <c r="A122" s="74"/>
      <c r="B122" s="54"/>
      <c r="C122" s="56"/>
      <c r="D122" s="56"/>
      <c r="E122" s="56">
        <f t="shared" si="3"/>
        <v>0</v>
      </c>
      <c r="F122" s="77"/>
      <c r="G122" s="76"/>
      <c r="H122" s="54"/>
    </row>
    <row r="123" spans="1:8">
      <c r="A123" s="83"/>
      <c r="B123" s="54"/>
      <c r="C123" s="56"/>
      <c r="D123" s="84"/>
      <c r="E123" s="56">
        <f t="shared" si="3"/>
        <v>0</v>
      </c>
      <c r="F123" s="77"/>
      <c r="G123" s="76"/>
      <c r="H123" s="54"/>
    </row>
    <row r="124" spans="1:8">
      <c r="A124" s="74"/>
      <c r="B124" s="54"/>
      <c r="C124" s="56"/>
      <c r="D124" s="56"/>
      <c r="E124" s="56">
        <f t="shared" si="3"/>
        <v>0</v>
      </c>
      <c r="F124" s="77"/>
      <c r="G124" s="69"/>
      <c r="H124" s="54"/>
    </row>
    <row r="125" spans="1:8">
      <c r="A125" s="74"/>
      <c r="B125" s="54"/>
      <c r="C125" s="56"/>
      <c r="D125" s="56"/>
      <c r="E125" s="56">
        <f t="shared" si="3"/>
        <v>0</v>
      </c>
      <c r="F125" s="77"/>
      <c r="G125" s="76"/>
      <c r="H125" s="54"/>
    </row>
    <row r="126" spans="1:8">
      <c r="A126" s="74"/>
      <c r="B126" s="54"/>
      <c r="C126" s="56"/>
      <c r="D126" s="56"/>
      <c r="E126" s="56">
        <f t="shared" si="3"/>
        <v>0</v>
      </c>
      <c r="F126" s="77"/>
      <c r="G126" s="76"/>
      <c r="H126" s="54"/>
    </row>
    <row r="127" spans="1:8">
      <c r="A127" s="74"/>
      <c r="B127" s="54"/>
      <c r="C127" s="56"/>
      <c r="D127" s="56"/>
      <c r="E127" s="56">
        <f t="shared" si="3"/>
        <v>0</v>
      </c>
      <c r="F127" s="77"/>
      <c r="G127" s="76"/>
      <c r="H127" s="54"/>
    </row>
    <row r="128" spans="1:8">
      <c r="A128" s="74"/>
      <c r="B128" s="54"/>
      <c r="C128" s="56"/>
      <c r="D128" s="56"/>
      <c r="E128" s="56">
        <f t="shared" si="3"/>
        <v>0</v>
      </c>
      <c r="F128" s="77"/>
      <c r="G128" s="76"/>
      <c r="H128" s="54"/>
    </row>
    <row r="129" spans="1:8">
      <c r="A129" s="83"/>
      <c r="B129" s="54"/>
      <c r="C129" s="56"/>
      <c r="D129" s="56"/>
      <c r="E129" s="56">
        <f t="shared" si="3"/>
        <v>0</v>
      </c>
      <c r="F129" s="77"/>
      <c r="G129" s="76"/>
      <c r="H129" s="54"/>
    </row>
    <row r="130" spans="1:8">
      <c r="A130" s="74"/>
      <c r="B130" s="54"/>
      <c r="C130" s="56"/>
      <c r="D130" s="56"/>
      <c r="E130" s="56">
        <f t="shared" si="3"/>
        <v>0</v>
      </c>
      <c r="F130" s="77"/>
      <c r="G130" s="76"/>
      <c r="H130" s="54"/>
    </row>
    <row r="131" spans="1:8" s="71" customFormat="1">
      <c r="A131" s="74"/>
      <c r="B131" s="54"/>
      <c r="C131" s="56"/>
      <c r="D131" s="56"/>
      <c r="E131" s="56">
        <f t="shared" si="3"/>
        <v>0</v>
      </c>
      <c r="F131" s="77"/>
      <c r="G131" s="76"/>
      <c r="H131" s="54"/>
    </row>
    <row r="132" spans="1:8">
      <c r="A132" s="74"/>
      <c r="B132" s="54"/>
      <c r="C132" s="56"/>
      <c r="D132" s="56"/>
      <c r="E132" s="56">
        <f t="shared" si="3"/>
        <v>0</v>
      </c>
      <c r="F132" s="77"/>
      <c r="G132" s="76"/>
      <c r="H132" s="54"/>
    </row>
    <row r="133" spans="1:8">
      <c r="A133" s="74"/>
      <c r="B133" s="54"/>
      <c r="C133" s="56"/>
      <c r="D133" s="56"/>
      <c r="E133" s="56">
        <f t="shared" si="3"/>
        <v>0</v>
      </c>
      <c r="F133" s="77"/>
      <c r="G133" s="76"/>
      <c r="H133" s="54"/>
    </row>
    <row r="134" spans="1:8">
      <c r="A134" s="74"/>
      <c r="B134" s="54"/>
      <c r="C134" s="56"/>
      <c r="D134" s="56"/>
      <c r="E134" s="56">
        <f t="shared" si="3"/>
        <v>0</v>
      </c>
      <c r="F134" s="77"/>
      <c r="G134" s="76"/>
      <c r="H134" s="54"/>
    </row>
    <row r="135" spans="1:8">
      <c r="A135" s="74"/>
      <c r="B135" s="54"/>
      <c r="C135" s="56"/>
      <c r="D135" s="56"/>
      <c r="E135" s="56">
        <f t="shared" si="3"/>
        <v>0</v>
      </c>
      <c r="F135" s="77"/>
      <c r="G135" s="76"/>
      <c r="H135" s="54"/>
    </row>
    <row r="136" spans="1:8">
      <c r="A136" s="74"/>
      <c r="B136" s="54"/>
      <c r="C136" s="56"/>
      <c r="D136" s="56"/>
      <c r="E136" s="56">
        <f t="shared" ref="E136:E163" si="4">E135-C136+D136</f>
        <v>0</v>
      </c>
      <c r="F136" s="77"/>
      <c r="G136" s="76"/>
      <c r="H136" s="54"/>
    </row>
    <row r="137" spans="1:8">
      <c r="A137" s="74"/>
      <c r="B137" s="54"/>
      <c r="C137" s="56"/>
      <c r="D137" s="56"/>
      <c r="E137" s="56">
        <f t="shared" si="4"/>
        <v>0</v>
      </c>
      <c r="F137" s="77"/>
      <c r="G137" s="76"/>
      <c r="H137" s="82"/>
    </row>
    <row r="138" spans="1:8">
      <c r="A138" s="74"/>
      <c r="B138" s="54"/>
      <c r="C138" s="56"/>
      <c r="D138" s="56"/>
      <c r="E138" s="56">
        <f t="shared" si="4"/>
        <v>0</v>
      </c>
      <c r="F138" s="77"/>
      <c r="G138" s="76"/>
      <c r="H138" s="54"/>
    </row>
    <row r="139" spans="1:8">
      <c r="A139" s="74"/>
      <c r="B139" s="54"/>
      <c r="C139" s="56"/>
      <c r="D139" s="56"/>
      <c r="E139" s="56">
        <f t="shared" si="4"/>
        <v>0</v>
      </c>
      <c r="F139" s="77"/>
      <c r="G139" s="76"/>
      <c r="H139" s="54"/>
    </row>
    <row r="140" spans="1:8">
      <c r="A140" s="74"/>
      <c r="B140" s="54"/>
      <c r="C140" s="56"/>
      <c r="D140" s="56"/>
      <c r="E140" s="56">
        <f t="shared" si="4"/>
        <v>0</v>
      </c>
      <c r="F140" s="77"/>
      <c r="G140" s="76"/>
      <c r="H140" s="54"/>
    </row>
    <row r="141" spans="1:8">
      <c r="A141" s="74"/>
      <c r="B141" s="54"/>
      <c r="C141" s="56"/>
      <c r="D141" s="56"/>
      <c r="E141" s="56">
        <f t="shared" si="4"/>
        <v>0</v>
      </c>
      <c r="F141" s="77"/>
      <c r="G141" s="76"/>
      <c r="H141" s="54"/>
    </row>
    <row r="142" spans="1:8">
      <c r="A142" s="74"/>
      <c r="B142" s="54"/>
      <c r="C142" s="56"/>
      <c r="D142" s="56"/>
      <c r="E142" s="56">
        <f t="shared" si="4"/>
        <v>0</v>
      </c>
      <c r="F142" s="77"/>
      <c r="G142" s="76"/>
      <c r="H142" s="54"/>
    </row>
    <row r="143" spans="1:8">
      <c r="A143" s="74"/>
      <c r="B143" s="54"/>
      <c r="C143" s="56"/>
      <c r="D143" s="56"/>
      <c r="E143" s="56">
        <f t="shared" si="4"/>
        <v>0</v>
      </c>
      <c r="F143" s="77"/>
      <c r="G143" s="76"/>
      <c r="H143" s="54"/>
    </row>
    <row r="144" spans="1:8">
      <c r="A144" s="74"/>
      <c r="B144" s="54"/>
      <c r="C144" s="56"/>
      <c r="D144" s="56"/>
      <c r="E144" s="56">
        <f t="shared" si="4"/>
        <v>0</v>
      </c>
      <c r="F144" s="77"/>
      <c r="G144" s="76"/>
      <c r="H144" s="54"/>
    </row>
    <row r="145" spans="1:8">
      <c r="A145" s="74"/>
      <c r="B145" s="54"/>
      <c r="C145" s="56"/>
      <c r="D145" s="56"/>
      <c r="E145" s="56">
        <f t="shared" si="4"/>
        <v>0</v>
      </c>
      <c r="F145" s="77"/>
      <c r="G145" s="76"/>
      <c r="H145" s="54"/>
    </row>
    <row r="146" spans="1:8">
      <c r="A146" s="74"/>
      <c r="B146" s="54"/>
      <c r="C146" s="56"/>
      <c r="D146" s="56"/>
      <c r="E146" s="56">
        <f t="shared" si="4"/>
        <v>0</v>
      </c>
      <c r="F146" s="77"/>
      <c r="G146" s="76"/>
      <c r="H146" s="54"/>
    </row>
    <row r="147" spans="1:8">
      <c r="A147" s="74"/>
      <c r="B147" s="54"/>
      <c r="C147" s="56"/>
      <c r="D147" s="56"/>
      <c r="E147" s="56">
        <f t="shared" si="4"/>
        <v>0</v>
      </c>
      <c r="F147" s="77"/>
      <c r="G147" s="76"/>
      <c r="H147" s="54"/>
    </row>
    <row r="148" spans="1:8">
      <c r="A148" s="74"/>
      <c r="B148" s="54"/>
      <c r="C148" s="56"/>
      <c r="D148" s="56"/>
      <c r="E148" s="56">
        <f t="shared" si="4"/>
        <v>0</v>
      </c>
      <c r="F148" s="77"/>
      <c r="G148" s="76"/>
      <c r="H148" s="54"/>
    </row>
    <row r="149" spans="1:8">
      <c r="A149" s="74"/>
      <c r="B149" s="54"/>
      <c r="C149" s="56"/>
      <c r="D149" s="56"/>
      <c r="E149" s="56">
        <f t="shared" si="4"/>
        <v>0</v>
      </c>
      <c r="F149" s="77"/>
      <c r="G149" s="76"/>
      <c r="H149" s="54"/>
    </row>
    <row r="150" spans="1:8" s="71" customFormat="1">
      <c r="A150" s="74"/>
      <c r="B150" s="54"/>
      <c r="C150" s="56"/>
      <c r="D150" s="56"/>
      <c r="E150" s="56">
        <f t="shared" si="4"/>
        <v>0</v>
      </c>
      <c r="F150" s="77"/>
      <c r="G150" s="76"/>
      <c r="H150" s="54"/>
    </row>
    <row r="151" spans="1:8">
      <c r="A151" s="74"/>
      <c r="B151" s="54"/>
      <c r="C151" s="56"/>
      <c r="D151" s="56"/>
      <c r="E151" s="56">
        <f t="shared" si="4"/>
        <v>0</v>
      </c>
      <c r="F151" s="78"/>
      <c r="G151" s="76"/>
      <c r="H151" s="54"/>
    </row>
    <row r="152" spans="1:8">
      <c r="A152" s="74"/>
      <c r="B152" s="54"/>
      <c r="C152" s="56"/>
      <c r="D152" s="56"/>
      <c r="E152" s="56">
        <f t="shared" si="4"/>
        <v>0</v>
      </c>
      <c r="F152" s="77"/>
      <c r="G152" s="54"/>
      <c r="H152" s="54"/>
    </row>
    <row r="153" spans="1:8">
      <c r="A153" s="74"/>
      <c r="B153" s="54"/>
      <c r="C153" s="56"/>
      <c r="D153" s="56"/>
      <c r="E153" s="56">
        <f t="shared" si="4"/>
        <v>0</v>
      </c>
      <c r="F153" s="77"/>
      <c r="G153" s="76"/>
      <c r="H153" s="54"/>
    </row>
    <row r="154" spans="1:8">
      <c r="A154" s="74"/>
      <c r="B154" s="54"/>
      <c r="C154" s="56"/>
      <c r="D154" s="56"/>
      <c r="E154" s="56">
        <f t="shared" si="4"/>
        <v>0</v>
      </c>
      <c r="F154" s="77"/>
      <c r="G154" s="76"/>
      <c r="H154" s="54"/>
    </row>
    <row r="155" spans="1:8">
      <c r="A155" s="74"/>
      <c r="B155" s="54"/>
      <c r="C155" s="56"/>
      <c r="D155" s="56"/>
      <c r="E155" s="56">
        <f t="shared" si="4"/>
        <v>0</v>
      </c>
      <c r="F155" s="77"/>
      <c r="G155" s="76"/>
      <c r="H155" s="54"/>
    </row>
    <row r="156" spans="1:8">
      <c r="A156" s="74"/>
      <c r="B156" s="54"/>
      <c r="C156" s="56"/>
      <c r="D156" s="56"/>
      <c r="E156" s="56">
        <f t="shared" si="4"/>
        <v>0</v>
      </c>
      <c r="F156" s="77"/>
      <c r="G156" s="76"/>
      <c r="H156" s="54"/>
    </row>
    <row r="157" spans="1:8">
      <c r="A157" s="74"/>
      <c r="B157" s="54"/>
      <c r="C157" s="56"/>
      <c r="D157" s="56"/>
      <c r="E157" s="56">
        <f t="shared" si="4"/>
        <v>0</v>
      </c>
      <c r="F157" s="77"/>
      <c r="G157" s="76"/>
      <c r="H157" s="54"/>
    </row>
    <row r="158" spans="1:8">
      <c r="A158" s="74"/>
      <c r="B158" s="54"/>
      <c r="C158" s="56"/>
      <c r="D158" s="56"/>
      <c r="E158" s="56">
        <f t="shared" si="4"/>
        <v>0</v>
      </c>
      <c r="F158" s="77"/>
      <c r="G158" s="76"/>
      <c r="H158" s="54"/>
    </row>
    <row r="159" spans="1:8">
      <c r="A159" s="74"/>
      <c r="B159" s="54"/>
      <c r="C159" s="56"/>
      <c r="D159" s="56"/>
      <c r="E159" s="56">
        <f t="shared" si="4"/>
        <v>0</v>
      </c>
      <c r="F159" s="77"/>
      <c r="G159" s="76"/>
      <c r="H159" s="54"/>
    </row>
    <row r="160" spans="1:8">
      <c r="A160" s="74"/>
      <c r="B160" s="54"/>
      <c r="C160" s="56"/>
      <c r="D160" s="56"/>
      <c r="E160" s="56">
        <f t="shared" si="4"/>
        <v>0</v>
      </c>
      <c r="F160" s="77"/>
      <c r="G160" s="76"/>
      <c r="H160" s="54"/>
    </row>
    <row r="161" spans="1:8">
      <c r="A161" s="74"/>
      <c r="B161" s="54"/>
      <c r="C161" s="56"/>
      <c r="D161" s="56"/>
      <c r="E161" s="56">
        <f t="shared" si="4"/>
        <v>0</v>
      </c>
      <c r="F161" s="77"/>
      <c r="G161" s="76"/>
      <c r="H161" s="54"/>
    </row>
    <row r="162" spans="1:8">
      <c r="A162" s="74"/>
      <c r="B162" s="54"/>
      <c r="C162" s="56"/>
      <c r="D162" s="56"/>
      <c r="E162" s="56">
        <f t="shared" si="4"/>
        <v>0</v>
      </c>
      <c r="F162" s="77"/>
      <c r="G162" s="76"/>
      <c r="H162" s="54"/>
    </row>
    <row r="163" spans="1:8">
      <c r="A163" s="74"/>
      <c r="B163" s="54"/>
      <c r="C163" s="56"/>
      <c r="D163" s="56"/>
      <c r="E163" s="56">
        <f t="shared" si="4"/>
        <v>0</v>
      </c>
      <c r="F163" s="77"/>
      <c r="G163" s="76"/>
      <c r="H163" s="54"/>
    </row>
    <row r="164" spans="1:8">
      <c r="C164" s="70">
        <f>SUM(C7:C163)</f>
        <v>0</v>
      </c>
      <c r="D164" s="70">
        <f>SUM(D7:D163)</f>
        <v>0</v>
      </c>
      <c r="F164" s="67"/>
    </row>
    <row r="168" spans="1:8">
      <c r="H168" t="s">
        <v>435</v>
      </c>
    </row>
  </sheetData>
  <autoFilter ref="A5:H5" xr:uid="{163EE640-5476-4526-A73E-2E8E04840C34}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E0EE-928B-4776-9C13-5D4A6589A474}">
  <sheetPr codeName="Hoja15"/>
  <dimension ref="A1:J79"/>
  <sheetViews>
    <sheetView topLeftCell="A4" workbookViewId="0">
      <selection activeCell="E36" sqref="D1:E1048576"/>
    </sheetView>
  </sheetViews>
  <sheetFormatPr baseColWidth="10" defaultColWidth="11.42578125" defaultRowHeight="15"/>
  <cols>
    <col min="2" max="2" width="33.7109375" bestFit="1" customWidth="1"/>
    <col min="3" max="3" width="32.140625" bestFit="1" customWidth="1"/>
    <col min="4" max="4" width="11.28515625" style="40"/>
    <col min="5" max="5" width="11.140625" style="40" customWidth="1"/>
    <col min="6" max="6" width="21.85546875" bestFit="1" customWidth="1"/>
    <col min="8" max="8" width="17.85546875" bestFit="1" customWidth="1"/>
  </cols>
  <sheetData>
    <row r="1" spans="1:9">
      <c r="A1" t="s">
        <v>25</v>
      </c>
      <c r="B1" t="s">
        <v>26</v>
      </c>
      <c r="C1" t="s">
        <v>27</v>
      </c>
      <c r="D1" s="40" t="s">
        <v>28</v>
      </c>
      <c r="E1" s="40" t="s">
        <v>29</v>
      </c>
      <c r="F1" t="s">
        <v>30</v>
      </c>
      <c r="G1" t="s">
        <v>110</v>
      </c>
      <c r="H1" t="s">
        <v>436</v>
      </c>
    </row>
    <row r="2" spans="1:9" s="37" customFormat="1">
      <c r="A2" s="36">
        <v>45322</v>
      </c>
      <c r="B2" s="37" t="s">
        <v>423</v>
      </c>
      <c r="C2" s="37" t="s">
        <v>437</v>
      </c>
      <c r="D2" s="38"/>
      <c r="E2" s="38">
        <v>6204.44</v>
      </c>
      <c r="F2" s="37" t="s">
        <v>119</v>
      </c>
    </row>
    <row r="3" spans="1:9" s="37" customFormat="1">
      <c r="A3" s="36">
        <v>45293</v>
      </c>
      <c r="B3" s="37" t="s">
        <v>438</v>
      </c>
      <c r="C3" s="37" t="s">
        <v>439</v>
      </c>
      <c r="D3" s="38"/>
      <c r="E3" s="38">
        <v>1100</v>
      </c>
      <c r="F3" s="37" t="s">
        <v>119</v>
      </c>
    </row>
    <row r="4" spans="1:9" s="37" customFormat="1">
      <c r="A4" s="36">
        <v>45293</v>
      </c>
      <c r="B4" s="37" t="s">
        <v>440</v>
      </c>
      <c r="C4" s="37" t="s">
        <v>441</v>
      </c>
      <c r="D4" s="38"/>
      <c r="E4" s="38">
        <v>1000</v>
      </c>
      <c r="F4" s="37" t="s">
        <v>119</v>
      </c>
      <c r="G4" s="37">
        <v>4.8</v>
      </c>
      <c r="H4" s="39">
        <f>+E4+G4</f>
        <v>1004.8</v>
      </c>
    </row>
    <row r="5" spans="1:9" s="42" customFormat="1">
      <c r="A5" s="41">
        <v>45295</v>
      </c>
      <c r="B5" s="42" t="s">
        <v>157</v>
      </c>
      <c r="C5" s="42" t="s">
        <v>442</v>
      </c>
      <c r="D5" s="43"/>
      <c r="E5" s="43">
        <v>4674</v>
      </c>
      <c r="F5" s="42" t="s">
        <v>119</v>
      </c>
      <c r="I5" s="42" t="s">
        <v>443</v>
      </c>
    </row>
    <row r="6" spans="1:9" s="37" customFormat="1">
      <c r="A6" s="36">
        <v>45296</v>
      </c>
      <c r="B6" s="37" t="s">
        <v>440</v>
      </c>
      <c r="C6" s="37" t="s">
        <v>444</v>
      </c>
      <c r="D6" s="38"/>
      <c r="E6" s="38">
        <v>1000</v>
      </c>
      <c r="F6" s="37" t="s">
        <v>119</v>
      </c>
      <c r="G6" s="37">
        <v>4.8</v>
      </c>
      <c r="H6" s="39">
        <f>+E6+G6</f>
        <v>1004.8</v>
      </c>
    </row>
    <row r="7" spans="1:9" s="37" customFormat="1">
      <c r="A7" s="36">
        <v>45296</v>
      </c>
      <c r="B7" s="37" t="s">
        <v>445</v>
      </c>
      <c r="C7" s="37" t="s">
        <v>446</v>
      </c>
      <c r="D7" s="38"/>
      <c r="E7" s="38">
        <v>6659</v>
      </c>
      <c r="F7" s="37" t="s">
        <v>119</v>
      </c>
    </row>
    <row r="8" spans="1:9" s="37" customFormat="1">
      <c r="A8" s="36">
        <v>45297</v>
      </c>
      <c r="B8" s="37" t="s">
        <v>445</v>
      </c>
      <c r="C8" s="37" t="s">
        <v>446</v>
      </c>
      <c r="D8" s="38"/>
      <c r="E8" s="38">
        <v>11982</v>
      </c>
      <c r="F8" s="37" t="s">
        <v>119</v>
      </c>
    </row>
    <row r="9" spans="1:9" s="37" customFormat="1">
      <c r="A9" s="36">
        <v>45299</v>
      </c>
      <c r="B9" s="37" t="s">
        <v>440</v>
      </c>
      <c r="C9" s="37" t="s">
        <v>447</v>
      </c>
      <c r="D9" s="38"/>
      <c r="E9" s="38">
        <v>1000</v>
      </c>
      <c r="F9" s="37" t="s">
        <v>119</v>
      </c>
      <c r="G9" s="37">
        <v>4.8</v>
      </c>
      <c r="H9" s="39">
        <f>+E9+G9</f>
        <v>1004.8</v>
      </c>
    </row>
    <row r="10" spans="1:9" s="37" customFormat="1">
      <c r="A10" s="36">
        <v>45299</v>
      </c>
      <c r="B10" s="37" t="s">
        <v>440</v>
      </c>
      <c r="C10" s="37" t="s">
        <v>447</v>
      </c>
      <c r="D10" s="38"/>
      <c r="E10" s="38">
        <v>1000</v>
      </c>
      <c r="F10" s="37" t="s">
        <v>119</v>
      </c>
      <c r="G10" s="37">
        <v>4.8</v>
      </c>
      <c r="H10" s="39">
        <f>+E10+G10</f>
        <v>1004.8</v>
      </c>
    </row>
    <row r="11" spans="1:9" s="37" customFormat="1">
      <c r="A11" s="36">
        <v>45301</v>
      </c>
      <c r="B11" s="37" t="s">
        <v>440</v>
      </c>
      <c r="C11" s="37" t="s">
        <v>448</v>
      </c>
      <c r="D11" s="38"/>
      <c r="E11" s="38">
        <v>1000</v>
      </c>
      <c r="F11" s="37" t="s">
        <v>119</v>
      </c>
      <c r="G11" s="37">
        <v>4.8</v>
      </c>
      <c r="H11" s="39">
        <f>+E11+G11</f>
        <v>1004.8</v>
      </c>
    </row>
    <row r="12" spans="1:9" s="37" customFormat="1">
      <c r="A12" s="36">
        <v>45301</v>
      </c>
      <c r="B12" s="37" t="s">
        <v>449</v>
      </c>
      <c r="C12" s="37" t="s">
        <v>450</v>
      </c>
      <c r="D12" s="38"/>
      <c r="E12" s="38">
        <v>360</v>
      </c>
      <c r="F12" s="37" t="s">
        <v>119</v>
      </c>
      <c r="I12" s="37" t="s">
        <v>451</v>
      </c>
    </row>
    <row r="13" spans="1:9" s="42" customFormat="1">
      <c r="A13" s="41">
        <v>45301</v>
      </c>
      <c r="B13" s="42" t="s">
        <v>452</v>
      </c>
      <c r="C13" s="42" t="s">
        <v>453</v>
      </c>
      <c r="D13" s="43"/>
      <c r="E13" s="43">
        <v>1510</v>
      </c>
      <c r="F13" s="42" t="s">
        <v>119</v>
      </c>
      <c r="I13" s="42" t="s">
        <v>454</v>
      </c>
    </row>
    <row r="14" spans="1:9" s="37" customFormat="1">
      <c r="A14" s="36">
        <v>45301</v>
      </c>
      <c r="B14" s="37" t="s">
        <v>449</v>
      </c>
      <c r="C14" s="37" t="s">
        <v>455</v>
      </c>
      <c r="D14" s="38"/>
      <c r="E14" s="38">
        <v>1580</v>
      </c>
      <c r="F14" s="37" t="s">
        <v>119</v>
      </c>
      <c r="I14" s="37" t="s">
        <v>456</v>
      </c>
    </row>
    <row r="15" spans="1:9" s="37" customFormat="1">
      <c r="A15" s="36">
        <v>45302</v>
      </c>
      <c r="B15" s="37" t="s">
        <v>440</v>
      </c>
      <c r="C15" s="37" t="s">
        <v>457</v>
      </c>
      <c r="D15" s="38"/>
      <c r="E15" s="38">
        <v>500</v>
      </c>
      <c r="F15" s="37" t="s">
        <v>119</v>
      </c>
      <c r="G15" s="37">
        <v>4.8</v>
      </c>
      <c r="H15" s="39">
        <f>+E15+G15</f>
        <v>504.8</v>
      </c>
    </row>
    <row r="16" spans="1:9" s="37" customFormat="1">
      <c r="A16" s="36">
        <v>45302</v>
      </c>
      <c r="B16" s="37" t="s">
        <v>458</v>
      </c>
      <c r="C16" s="37" t="s">
        <v>459</v>
      </c>
      <c r="D16" s="38"/>
      <c r="E16" s="38">
        <v>1400</v>
      </c>
      <c r="F16" s="37" t="s">
        <v>119</v>
      </c>
    </row>
    <row r="17" spans="1:9" s="37" customFormat="1">
      <c r="A17" s="36">
        <v>45303</v>
      </c>
      <c r="B17" s="37" t="s">
        <v>460</v>
      </c>
      <c r="C17" s="37" t="s">
        <v>461</v>
      </c>
      <c r="D17" s="38"/>
      <c r="E17" s="38">
        <v>283.2</v>
      </c>
      <c r="F17" s="37" t="s">
        <v>119</v>
      </c>
      <c r="G17" s="37">
        <v>4.8</v>
      </c>
      <c r="H17" s="39">
        <f>+E17+G17</f>
        <v>288</v>
      </c>
    </row>
    <row r="18" spans="1:9" s="37" customFormat="1">
      <c r="A18" s="36">
        <v>45303</v>
      </c>
      <c r="B18" s="37" t="s">
        <v>462</v>
      </c>
      <c r="C18" s="37" t="s">
        <v>463</v>
      </c>
      <c r="D18" s="38"/>
      <c r="E18" s="38">
        <v>1600</v>
      </c>
      <c r="F18" s="37" t="s">
        <v>119</v>
      </c>
    </row>
    <row r="19" spans="1:9" s="37" customFormat="1">
      <c r="A19" s="36">
        <v>45303</v>
      </c>
      <c r="B19" s="37" t="s">
        <v>464</v>
      </c>
      <c r="C19" s="37" t="s">
        <v>465</v>
      </c>
      <c r="D19" s="38"/>
      <c r="E19" s="38">
        <v>1907</v>
      </c>
      <c r="F19" s="37" t="s">
        <v>119</v>
      </c>
    </row>
    <row r="20" spans="1:9" s="37" customFormat="1">
      <c r="A20" s="36">
        <v>45303</v>
      </c>
      <c r="B20" s="37" t="s">
        <v>440</v>
      </c>
      <c r="C20" s="37" t="s">
        <v>466</v>
      </c>
      <c r="D20" s="38"/>
      <c r="E20" s="38">
        <v>1000</v>
      </c>
      <c r="F20" s="37" t="s">
        <v>119</v>
      </c>
      <c r="G20" s="37">
        <v>4.8</v>
      </c>
      <c r="H20" s="39">
        <f>+E20+G20</f>
        <v>1004.8</v>
      </c>
    </row>
    <row r="21" spans="1:9" s="37" customFormat="1">
      <c r="A21" s="36">
        <v>45304</v>
      </c>
      <c r="B21" s="37" t="s">
        <v>440</v>
      </c>
      <c r="C21" s="37" t="s">
        <v>467</v>
      </c>
      <c r="D21" s="38"/>
      <c r="E21" s="38">
        <v>1000</v>
      </c>
      <c r="F21" s="37" t="s">
        <v>119</v>
      </c>
      <c r="G21" s="37">
        <v>4.8</v>
      </c>
      <c r="H21" s="39">
        <f>+E21+G21</f>
        <v>1004.8</v>
      </c>
    </row>
    <row r="22" spans="1:9" s="37" customFormat="1">
      <c r="A22" s="36">
        <v>45307</v>
      </c>
      <c r="B22" s="37" t="s">
        <v>182</v>
      </c>
      <c r="C22" s="37" t="s">
        <v>468</v>
      </c>
      <c r="D22" s="38"/>
      <c r="E22" s="38">
        <v>800</v>
      </c>
      <c r="F22" s="37" t="s">
        <v>119</v>
      </c>
    </row>
    <row r="23" spans="1:9" s="42" customFormat="1">
      <c r="A23" s="41">
        <v>45307</v>
      </c>
      <c r="B23" s="42" t="s">
        <v>157</v>
      </c>
      <c r="C23" s="42" t="s">
        <v>469</v>
      </c>
      <c r="D23" s="43"/>
      <c r="E23" s="43">
        <v>3540</v>
      </c>
      <c r="F23" s="42" t="s">
        <v>119</v>
      </c>
      <c r="I23" s="42" t="s">
        <v>443</v>
      </c>
    </row>
    <row r="24" spans="1:9" s="37" customFormat="1">
      <c r="A24" s="36">
        <v>45307</v>
      </c>
      <c r="B24" s="37" t="s">
        <v>470</v>
      </c>
      <c r="C24" s="37" t="s">
        <v>471</v>
      </c>
      <c r="D24" s="38"/>
      <c r="E24" s="38">
        <v>1350</v>
      </c>
      <c r="F24" s="37" t="s">
        <v>119</v>
      </c>
    </row>
    <row r="25" spans="1:9" s="37" customFormat="1">
      <c r="A25" s="36">
        <v>45307</v>
      </c>
      <c r="B25" s="37" t="s">
        <v>440</v>
      </c>
      <c r="C25" s="37" t="s">
        <v>472</v>
      </c>
      <c r="D25" s="38"/>
      <c r="E25" s="38">
        <v>1150</v>
      </c>
      <c r="F25" s="37" t="s">
        <v>119</v>
      </c>
      <c r="G25" s="37">
        <v>4.8</v>
      </c>
      <c r="H25" s="39">
        <f>+E25+G25</f>
        <v>1154.8</v>
      </c>
    </row>
    <row r="26" spans="1:9" s="37" customFormat="1">
      <c r="A26" s="36">
        <v>45307</v>
      </c>
      <c r="B26" s="37" t="s">
        <v>473</v>
      </c>
      <c r="C26" s="37" t="s">
        <v>474</v>
      </c>
      <c r="D26" s="38"/>
      <c r="E26" s="38">
        <v>600</v>
      </c>
      <c r="F26" s="37" t="s">
        <v>119</v>
      </c>
    </row>
    <row r="27" spans="1:9" s="42" customFormat="1">
      <c r="A27" s="41">
        <v>45309</v>
      </c>
      <c r="B27" s="42" t="s">
        <v>475</v>
      </c>
      <c r="C27" s="42" t="s">
        <v>476</v>
      </c>
      <c r="D27" s="43"/>
      <c r="E27" s="43">
        <v>3524.4</v>
      </c>
      <c r="F27" s="42" t="s">
        <v>119</v>
      </c>
    </row>
    <row r="28" spans="1:9" s="42" customFormat="1">
      <c r="A28" s="41">
        <v>45310</v>
      </c>
      <c r="B28" s="42" t="s">
        <v>477</v>
      </c>
      <c r="C28" s="42" t="s">
        <v>478</v>
      </c>
      <c r="D28" s="43"/>
      <c r="E28" s="43">
        <v>1504.75</v>
      </c>
      <c r="F28" s="42" t="s">
        <v>119</v>
      </c>
    </row>
    <row r="29" spans="1:9" s="37" customFormat="1">
      <c r="A29" s="36">
        <v>45311</v>
      </c>
      <c r="B29" s="37" t="s">
        <v>440</v>
      </c>
      <c r="C29" s="37" t="s">
        <v>479</v>
      </c>
      <c r="D29" s="38"/>
      <c r="E29" s="38">
        <v>1000</v>
      </c>
      <c r="F29" s="37" t="s">
        <v>119</v>
      </c>
      <c r="G29" s="37">
        <v>4.8</v>
      </c>
      <c r="H29" s="39">
        <f>+E29+G29</f>
        <v>1004.8</v>
      </c>
    </row>
    <row r="30" spans="1:9" s="37" customFormat="1">
      <c r="A30" s="36">
        <v>45311</v>
      </c>
      <c r="B30" s="37" t="s">
        <v>464</v>
      </c>
      <c r="C30" s="37" t="s">
        <v>480</v>
      </c>
      <c r="D30" s="38"/>
      <c r="E30" s="38">
        <v>1907</v>
      </c>
      <c r="F30" s="37" t="s">
        <v>119</v>
      </c>
    </row>
    <row r="31" spans="1:9" s="37" customFormat="1">
      <c r="A31" s="36">
        <v>45313</v>
      </c>
      <c r="B31" s="37" t="s">
        <v>182</v>
      </c>
      <c r="C31" s="37" t="s">
        <v>481</v>
      </c>
      <c r="D31" s="38"/>
      <c r="E31" s="38">
        <v>701.9</v>
      </c>
      <c r="F31" s="37" t="s">
        <v>119</v>
      </c>
    </row>
    <row r="32" spans="1:9" s="37" customFormat="1">
      <c r="A32" s="36">
        <v>45313</v>
      </c>
      <c r="B32" s="37" t="s">
        <v>449</v>
      </c>
      <c r="C32" s="37" t="s">
        <v>482</v>
      </c>
      <c r="D32" s="38"/>
      <c r="E32" s="38">
        <v>360</v>
      </c>
      <c r="F32" s="37" t="s">
        <v>119</v>
      </c>
      <c r="I32" s="37" t="s">
        <v>483</v>
      </c>
    </row>
    <row r="33" spans="1:10" s="37" customFormat="1">
      <c r="A33" s="36">
        <v>45313</v>
      </c>
      <c r="B33" s="37" t="s">
        <v>484</v>
      </c>
      <c r="C33" s="37" t="s">
        <v>485</v>
      </c>
      <c r="D33" s="38"/>
      <c r="E33" s="38">
        <v>1700</v>
      </c>
      <c r="F33" s="37" t="s">
        <v>119</v>
      </c>
    </row>
    <row r="34" spans="1:10" s="42" customFormat="1">
      <c r="A34" s="41">
        <v>45313</v>
      </c>
      <c r="B34" s="42" t="s">
        <v>486</v>
      </c>
      <c r="C34" s="42" t="s">
        <v>487</v>
      </c>
      <c r="D34" s="43"/>
      <c r="E34" s="43">
        <v>583</v>
      </c>
      <c r="F34" s="42" t="s">
        <v>119</v>
      </c>
    </row>
    <row r="35" spans="1:10" s="42" customFormat="1">
      <c r="A35" s="41">
        <v>45313</v>
      </c>
      <c r="B35" s="42" t="s">
        <v>486</v>
      </c>
      <c r="C35" s="42" t="s">
        <v>488</v>
      </c>
      <c r="D35" s="43"/>
      <c r="E35" s="43">
        <v>125</v>
      </c>
      <c r="F35" s="42" t="s">
        <v>119</v>
      </c>
    </row>
    <row r="36" spans="1:10" s="37" customFormat="1">
      <c r="A36" s="36">
        <v>45313</v>
      </c>
      <c r="B36" s="37" t="s">
        <v>182</v>
      </c>
      <c r="C36" s="37" t="s">
        <v>489</v>
      </c>
      <c r="D36" s="38"/>
      <c r="E36" s="38">
        <v>300</v>
      </c>
      <c r="F36" s="37" t="s">
        <v>119</v>
      </c>
    </row>
    <row r="37" spans="1:10" s="37" customFormat="1">
      <c r="A37" s="36">
        <v>45313</v>
      </c>
      <c r="B37" s="37" t="s">
        <v>462</v>
      </c>
      <c r="C37" s="37" t="s">
        <v>490</v>
      </c>
      <c r="D37" s="38"/>
      <c r="E37" s="38">
        <v>1600</v>
      </c>
      <c r="F37" s="37" t="s">
        <v>119</v>
      </c>
    </row>
    <row r="38" spans="1:10" s="37" customFormat="1">
      <c r="A38" s="36">
        <v>45315</v>
      </c>
      <c r="B38" s="37" t="s">
        <v>440</v>
      </c>
      <c r="C38" s="37" t="s">
        <v>491</v>
      </c>
      <c r="D38" s="38"/>
      <c r="E38" s="38">
        <v>1000</v>
      </c>
      <c r="F38" s="37" t="s">
        <v>119</v>
      </c>
      <c r="G38" s="37">
        <v>4.8</v>
      </c>
      <c r="H38" s="39">
        <f>+E38+G38</f>
        <v>1004.8</v>
      </c>
    </row>
    <row r="39" spans="1:10" s="42" customFormat="1">
      <c r="A39" s="41">
        <v>45317</v>
      </c>
      <c r="B39" s="42" t="s">
        <v>492</v>
      </c>
      <c r="C39" s="42" t="s">
        <v>493</v>
      </c>
      <c r="D39" s="43"/>
      <c r="E39" s="43">
        <v>704</v>
      </c>
      <c r="F39" s="42" t="s">
        <v>119</v>
      </c>
    </row>
    <row r="40" spans="1:10" s="42" customFormat="1">
      <c r="A40" s="41">
        <v>45317</v>
      </c>
      <c r="B40" s="42" t="s">
        <v>494</v>
      </c>
      <c r="C40" s="42" t="s">
        <v>495</v>
      </c>
      <c r="D40" s="43"/>
      <c r="E40" s="43">
        <v>947.4</v>
      </c>
      <c r="F40" s="42" t="s">
        <v>119</v>
      </c>
      <c r="G40" s="42">
        <v>4.8</v>
      </c>
      <c r="H40" s="44">
        <f>+E40+G40</f>
        <v>952.19999999999993</v>
      </c>
    </row>
    <row r="41" spans="1:10" s="42" customFormat="1">
      <c r="A41" s="41">
        <v>45317</v>
      </c>
      <c r="B41" s="42" t="s">
        <v>379</v>
      </c>
      <c r="C41" s="42" t="s">
        <v>496</v>
      </c>
      <c r="D41" s="43"/>
      <c r="E41" s="43">
        <v>300</v>
      </c>
      <c r="F41" s="42" t="s">
        <v>119</v>
      </c>
    </row>
    <row r="42" spans="1:10" s="37" customFormat="1">
      <c r="A42" s="36">
        <v>45317</v>
      </c>
      <c r="B42" s="37" t="s">
        <v>497</v>
      </c>
      <c r="C42" s="37" t="s">
        <v>498</v>
      </c>
      <c r="D42" s="38"/>
      <c r="E42" s="38">
        <v>1000</v>
      </c>
      <c r="F42" s="37" t="s">
        <v>119</v>
      </c>
    </row>
    <row r="43" spans="1:10" s="37" customFormat="1">
      <c r="A43" s="36">
        <v>45320</v>
      </c>
      <c r="B43" s="37" t="s">
        <v>182</v>
      </c>
      <c r="C43" s="37" t="s">
        <v>499</v>
      </c>
      <c r="D43" s="38"/>
      <c r="E43" s="38">
        <v>500</v>
      </c>
      <c r="F43" s="37" t="s">
        <v>119</v>
      </c>
    </row>
    <row r="44" spans="1:10" s="37" customFormat="1">
      <c r="A44" s="36">
        <v>45320</v>
      </c>
      <c r="B44" s="37" t="s">
        <v>182</v>
      </c>
      <c r="C44" s="37" t="s">
        <v>500</v>
      </c>
      <c r="D44" s="38"/>
      <c r="E44" s="38">
        <v>1147</v>
      </c>
      <c r="F44" s="37" t="s">
        <v>119</v>
      </c>
    </row>
    <row r="45" spans="1:10" s="42" customFormat="1">
      <c r="A45" s="41">
        <v>45321</v>
      </c>
      <c r="B45" s="42" t="s">
        <v>501</v>
      </c>
      <c r="C45" s="42" t="s">
        <v>502</v>
      </c>
      <c r="D45" s="43"/>
      <c r="E45" s="43">
        <v>477</v>
      </c>
      <c r="F45" s="42" t="s">
        <v>119</v>
      </c>
    </row>
    <row r="46" spans="1:10" s="37" customFormat="1">
      <c r="A46" s="36">
        <v>45321</v>
      </c>
      <c r="B46" s="37" t="s">
        <v>503</v>
      </c>
      <c r="C46" s="37" t="s">
        <v>504</v>
      </c>
      <c r="D46" s="38"/>
      <c r="E46" s="38">
        <v>4076.68</v>
      </c>
      <c r="F46" s="37" t="s">
        <v>119</v>
      </c>
    </row>
    <row r="47" spans="1:10" s="42" customFormat="1">
      <c r="A47" s="41">
        <v>45321</v>
      </c>
      <c r="B47" s="42" t="s">
        <v>157</v>
      </c>
      <c r="C47" s="42" t="s">
        <v>505</v>
      </c>
      <c r="D47" s="43"/>
      <c r="E47" s="43">
        <v>2646</v>
      </c>
      <c r="F47" s="42" t="s">
        <v>119</v>
      </c>
      <c r="I47" s="42" t="s">
        <v>443</v>
      </c>
      <c r="J47" s="44"/>
    </row>
    <row r="48" spans="1:10" s="37" customFormat="1">
      <c r="A48" s="36">
        <v>45322</v>
      </c>
      <c r="B48" s="37" t="s">
        <v>506</v>
      </c>
      <c r="C48" s="37" t="s">
        <v>507</v>
      </c>
      <c r="D48" s="38"/>
      <c r="E48" s="38">
        <v>100</v>
      </c>
      <c r="F48" s="37" t="s">
        <v>508</v>
      </c>
    </row>
    <row r="49" spans="1:8" s="37" customFormat="1">
      <c r="A49" s="36">
        <v>45322</v>
      </c>
      <c r="B49" s="37" t="s">
        <v>246</v>
      </c>
      <c r="C49" s="37" t="s">
        <v>509</v>
      </c>
      <c r="D49" s="38"/>
      <c r="E49" s="38">
        <v>891.75</v>
      </c>
      <c r="F49" s="37" t="s">
        <v>119</v>
      </c>
      <c r="G49" s="37">
        <v>4.8</v>
      </c>
      <c r="H49" s="39">
        <f>+E49+G49</f>
        <v>896.55</v>
      </c>
    </row>
    <row r="50" spans="1:8" s="37" customFormat="1">
      <c r="A50" s="36">
        <v>45322</v>
      </c>
      <c r="B50" s="37" t="s">
        <v>510</v>
      </c>
      <c r="C50" s="37" t="s">
        <v>511</v>
      </c>
      <c r="D50" s="38"/>
      <c r="E50" s="38">
        <v>700.7</v>
      </c>
      <c r="F50" s="37" t="s">
        <v>119</v>
      </c>
    </row>
    <row r="51" spans="1:8" s="37" customFormat="1">
      <c r="A51" s="36">
        <v>45322</v>
      </c>
      <c r="B51" s="37" t="s">
        <v>510</v>
      </c>
      <c r="C51" s="37" t="s">
        <v>512</v>
      </c>
      <c r="D51" s="38"/>
      <c r="E51" s="38">
        <v>2391.67</v>
      </c>
      <c r="F51" s="37" t="s">
        <v>119</v>
      </c>
      <c r="G51" s="37">
        <v>4.8</v>
      </c>
      <c r="H51" s="39">
        <f>+E51+G51</f>
        <v>2396.4700000000003</v>
      </c>
    </row>
    <row r="52" spans="1:8" s="37" customFormat="1">
      <c r="A52" s="36">
        <v>45322</v>
      </c>
      <c r="B52" s="37" t="s">
        <v>513</v>
      </c>
      <c r="C52" s="37" t="s">
        <v>514</v>
      </c>
      <c r="D52" s="38"/>
      <c r="E52" s="38">
        <v>4975</v>
      </c>
      <c r="F52" s="37" t="s">
        <v>508</v>
      </c>
    </row>
    <row r="53" spans="1:8" s="37" customFormat="1">
      <c r="A53" s="36">
        <v>45322</v>
      </c>
      <c r="B53" s="37" t="s">
        <v>365</v>
      </c>
      <c r="C53" s="37" t="s">
        <v>515</v>
      </c>
      <c r="D53" s="38"/>
      <c r="E53" s="38">
        <v>790.66</v>
      </c>
      <c r="F53" s="37" t="s">
        <v>119</v>
      </c>
      <c r="G53" s="37">
        <v>4.8</v>
      </c>
      <c r="H53" s="39">
        <f>+E53+G53</f>
        <v>795.45999999999992</v>
      </c>
    </row>
    <row r="54" spans="1:8" s="37" customFormat="1">
      <c r="A54" s="36">
        <v>45322</v>
      </c>
      <c r="B54" s="37" t="s">
        <v>405</v>
      </c>
      <c r="C54" s="37" t="s">
        <v>516</v>
      </c>
      <c r="D54" s="38"/>
      <c r="E54" s="38">
        <v>887.75</v>
      </c>
      <c r="F54" s="37" t="s">
        <v>119</v>
      </c>
    </row>
    <row r="55" spans="1:8" s="42" customFormat="1">
      <c r="A55" s="41">
        <v>45322</v>
      </c>
      <c r="B55" s="42" t="s">
        <v>373</v>
      </c>
      <c r="C55" s="42" t="s">
        <v>517</v>
      </c>
      <c r="D55" s="43"/>
      <c r="E55" s="43">
        <v>1651.83</v>
      </c>
      <c r="F55" s="42" t="s">
        <v>119</v>
      </c>
    </row>
    <row r="56" spans="1:8" s="42" customFormat="1">
      <c r="A56" s="41">
        <v>45322</v>
      </c>
      <c r="B56" s="42" t="s">
        <v>373</v>
      </c>
      <c r="C56" s="42" t="s">
        <v>518</v>
      </c>
      <c r="D56" s="43"/>
      <c r="E56" s="43">
        <v>1828.92</v>
      </c>
      <c r="F56" s="42" t="s">
        <v>119</v>
      </c>
    </row>
    <row r="57" spans="1:8" s="42" customFormat="1">
      <c r="A57" s="41">
        <v>45322</v>
      </c>
      <c r="B57" s="42" t="s">
        <v>373</v>
      </c>
      <c r="C57" s="42" t="s">
        <v>519</v>
      </c>
      <c r="D57" s="43"/>
      <c r="E57" s="43">
        <v>1546.96</v>
      </c>
      <c r="F57" s="42" t="s">
        <v>119</v>
      </c>
    </row>
    <row r="58" spans="1:8" s="42" customFormat="1">
      <c r="A58" s="41">
        <v>45322</v>
      </c>
      <c r="B58" s="42" t="s">
        <v>373</v>
      </c>
      <c r="C58" s="42" t="s">
        <v>520</v>
      </c>
      <c r="D58" s="43"/>
      <c r="E58" s="43">
        <v>1546.96</v>
      </c>
      <c r="F58" s="42" t="s">
        <v>119</v>
      </c>
    </row>
    <row r="59" spans="1:8" s="37" customFormat="1">
      <c r="A59" s="36">
        <v>45322</v>
      </c>
      <c r="B59" s="37" t="s">
        <v>521</v>
      </c>
      <c r="C59" s="37" t="s">
        <v>522</v>
      </c>
      <c r="D59" s="38"/>
      <c r="E59" s="38">
        <v>891.75</v>
      </c>
      <c r="F59" s="37" t="s">
        <v>119</v>
      </c>
    </row>
    <row r="60" spans="1:8" s="37" customFormat="1">
      <c r="A60" s="36">
        <v>45322</v>
      </c>
      <c r="B60" s="37" t="s">
        <v>486</v>
      </c>
      <c r="C60" s="37" t="s">
        <v>523</v>
      </c>
      <c r="D60" s="38"/>
      <c r="E60" s="38">
        <v>905.08</v>
      </c>
      <c r="F60" s="37" t="s">
        <v>119</v>
      </c>
    </row>
    <row r="61" spans="1:8" s="37" customFormat="1">
      <c r="A61" s="36">
        <v>45322</v>
      </c>
      <c r="B61" s="37" t="s">
        <v>524</v>
      </c>
      <c r="C61" s="37" t="s">
        <v>525</v>
      </c>
      <c r="D61" s="38"/>
      <c r="E61" s="38">
        <v>905.08</v>
      </c>
      <c r="F61" s="37" t="s">
        <v>119</v>
      </c>
    </row>
    <row r="62" spans="1:8" s="37" customFormat="1">
      <c r="A62" s="36">
        <v>45322</v>
      </c>
      <c r="B62" s="37" t="s">
        <v>470</v>
      </c>
      <c r="C62" s="37" t="s">
        <v>526</v>
      </c>
      <c r="D62" s="38"/>
      <c r="E62" s="38">
        <v>1350</v>
      </c>
      <c r="F62" s="37" t="s">
        <v>119</v>
      </c>
    </row>
    <row r="63" spans="1:8" s="37" customFormat="1">
      <c r="A63" s="36">
        <v>45322</v>
      </c>
      <c r="B63" s="37" t="s">
        <v>527</v>
      </c>
      <c r="C63" s="37" t="s">
        <v>528</v>
      </c>
      <c r="D63" s="38"/>
      <c r="E63" s="38">
        <v>1019.6</v>
      </c>
      <c r="F63" s="37" t="s">
        <v>119</v>
      </c>
    </row>
    <row r="64" spans="1:8" s="42" customFormat="1">
      <c r="A64" s="41">
        <v>45322</v>
      </c>
      <c r="B64" s="42" t="s">
        <v>373</v>
      </c>
      <c r="C64" s="42" t="s">
        <v>529</v>
      </c>
      <c r="D64" s="43"/>
      <c r="E64" s="43">
        <v>14656.76</v>
      </c>
      <c r="F64" s="42" t="s">
        <v>119</v>
      </c>
    </row>
    <row r="65" spans="1:8" s="37" customFormat="1">
      <c r="A65" s="36">
        <v>45322</v>
      </c>
      <c r="B65" s="37" t="s">
        <v>182</v>
      </c>
      <c r="C65" s="37" t="s">
        <v>530</v>
      </c>
      <c r="D65" s="38"/>
      <c r="E65" s="38">
        <v>687.29</v>
      </c>
      <c r="F65" s="37" t="s">
        <v>119</v>
      </c>
    </row>
    <row r="66" spans="1:8" s="37" customFormat="1">
      <c r="A66" s="36">
        <v>45322</v>
      </c>
      <c r="B66" s="37" t="s">
        <v>531</v>
      </c>
      <c r="C66" s="37" t="s">
        <v>532</v>
      </c>
      <c r="D66" s="38"/>
      <c r="E66" s="38">
        <v>1975</v>
      </c>
      <c r="F66" s="37" t="s">
        <v>119</v>
      </c>
      <c r="G66" s="37">
        <v>4.8</v>
      </c>
      <c r="H66" s="39">
        <f>+E66+G66</f>
        <v>1979.8</v>
      </c>
    </row>
    <row r="67" spans="1:8" s="37" customFormat="1">
      <c r="A67" s="36">
        <v>45322</v>
      </c>
      <c r="B67" s="37" t="s">
        <v>533</v>
      </c>
      <c r="C67" s="37" t="s">
        <v>534</v>
      </c>
      <c r="D67" s="38"/>
      <c r="E67" s="38">
        <v>3975</v>
      </c>
      <c r="F67" s="37" t="s">
        <v>119</v>
      </c>
    </row>
    <row r="68" spans="1:8" s="37" customFormat="1">
      <c r="A68" s="36">
        <v>45322</v>
      </c>
      <c r="B68" s="37" t="s">
        <v>535</v>
      </c>
      <c r="C68" s="37" t="s">
        <v>536</v>
      </c>
      <c r="D68" s="38"/>
      <c r="E68" s="38">
        <v>905.08</v>
      </c>
      <c r="F68" s="37" t="s">
        <v>119</v>
      </c>
    </row>
    <row r="69" spans="1:8" s="37" customFormat="1">
      <c r="A69" s="36">
        <v>45322</v>
      </c>
      <c r="B69" s="37" t="s">
        <v>473</v>
      </c>
      <c r="C69" s="37" t="s">
        <v>537</v>
      </c>
      <c r="D69" s="38"/>
      <c r="E69" s="38">
        <v>618.54</v>
      </c>
      <c r="F69" s="37" t="s">
        <v>119</v>
      </c>
    </row>
    <row r="70" spans="1:8" s="37" customFormat="1">
      <c r="A70" s="36">
        <v>45322</v>
      </c>
      <c r="B70" s="37" t="s">
        <v>452</v>
      </c>
      <c r="C70" s="37" t="s">
        <v>538</v>
      </c>
      <c r="D70" s="38"/>
      <c r="E70" s="38">
        <v>775.92</v>
      </c>
      <c r="F70" s="37" t="s">
        <v>119</v>
      </c>
    </row>
    <row r="71" spans="1:8" s="37" customFormat="1">
      <c r="A71" s="36">
        <v>45322</v>
      </c>
      <c r="B71" s="37" t="s">
        <v>539</v>
      </c>
      <c r="C71" s="37" t="s">
        <v>540</v>
      </c>
      <c r="D71" s="38"/>
      <c r="E71" s="38">
        <v>960</v>
      </c>
      <c r="F71" s="37" t="s">
        <v>119</v>
      </c>
    </row>
    <row r="72" spans="1:8" s="37" customFormat="1">
      <c r="A72" s="36">
        <v>45322</v>
      </c>
      <c r="B72" s="37" t="s">
        <v>445</v>
      </c>
      <c r="C72" s="37" t="s">
        <v>541</v>
      </c>
      <c r="D72" s="38"/>
      <c r="E72" s="38">
        <v>812.5</v>
      </c>
      <c r="F72" s="37" t="s">
        <v>119</v>
      </c>
    </row>
    <row r="73" spans="1:8" s="42" customFormat="1">
      <c r="A73" s="41">
        <v>45322</v>
      </c>
      <c r="B73" s="42" t="s">
        <v>542</v>
      </c>
      <c r="C73" s="42" t="s">
        <v>543</v>
      </c>
      <c r="D73" s="43"/>
      <c r="E73" s="43">
        <v>18.29</v>
      </c>
      <c r="F73" s="42" t="s">
        <v>119</v>
      </c>
    </row>
    <row r="74" spans="1:8" s="37" customFormat="1">
      <c r="A74" s="36">
        <v>45322</v>
      </c>
      <c r="B74" s="37" t="s">
        <v>440</v>
      </c>
      <c r="C74" s="37" t="s">
        <v>544</v>
      </c>
      <c r="D74" s="38"/>
      <c r="E74" s="38">
        <v>880.9</v>
      </c>
      <c r="F74" s="37" t="s">
        <v>119</v>
      </c>
      <c r="G74" s="37">
        <v>4.8</v>
      </c>
      <c r="H74" s="39">
        <f>+G74+E74</f>
        <v>885.69999999999993</v>
      </c>
    </row>
    <row r="75" spans="1:8" s="37" customFormat="1">
      <c r="A75" s="36">
        <v>45322</v>
      </c>
      <c r="B75" s="37" t="s">
        <v>545</v>
      </c>
      <c r="C75" s="37" t="s">
        <v>546</v>
      </c>
      <c r="D75" s="38"/>
      <c r="E75" s="38">
        <v>540</v>
      </c>
      <c r="F75" s="37" t="s">
        <v>119</v>
      </c>
    </row>
    <row r="76" spans="1:8" s="37" customFormat="1">
      <c r="A76" s="36">
        <v>45322</v>
      </c>
      <c r="B76" s="37" t="s">
        <v>547</v>
      </c>
      <c r="C76" s="37" t="s">
        <v>548</v>
      </c>
      <c r="D76" s="38"/>
      <c r="E76" s="38">
        <v>840</v>
      </c>
      <c r="F76" s="37" t="s">
        <v>119</v>
      </c>
    </row>
    <row r="77" spans="1:8" s="37" customFormat="1">
      <c r="A77" s="36">
        <v>45322</v>
      </c>
      <c r="B77" s="37" t="s">
        <v>549</v>
      </c>
      <c r="C77" s="37" t="s">
        <v>550</v>
      </c>
      <c r="D77" s="38"/>
      <c r="E77" s="38">
        <v>840</v>
      </c>
      <c r="F77" s="37" t="s">
        <v>119</v>
      </c>
    </row>
    <row r="78" spans="1:8" s="37" customFormat="1">
      <c r="A78" s="36">
        <v>45307</v>
      </c>
      <c r="B78" s="37" t="s">
        <v>440</v>
      </c>
      <c r="C78" s="37" t="s">
        <v>551</v>
      </c>
      <c r="D78" s="38"/>
      <c r="E78" s="38">
        <v>1000</v>
      </c>
      <c r="F78" s="37" t="s">
        <v>119</v>
      </c>
      <c r="G78" s="37">
        <v>4.8</v>
      </c>
      <c r="H78" s="39">
        <f>+E78+G78</f>
        <v>1004.8</v>
      </c>
    </row>
    <row r="79" spans="1:8">
      <c r="E79" s="40">
        <f>SUM(E2:E78)</f>
        <v>132172.75999999998</v>
      </c>
    </row>
  </sheetData>
  <autoFilter ref="A1:H79" xr:uid="{55B7E0EE-928B-4776-9C13-5D4A6589A474}">
    <sortState xmlns:xlrd2="http://schemas.microsoft.com/office/spreadsheetml/2017/richdata2" ref="A2:H79">
      <sortCondition ref="A1:A78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95fba1-d428-49b9-81ff-aa9e358962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D598A1C4A5D147AFEAFCB8E9AD5748" ma:contentTypeVersion="12" ma:contentTypeDescription="Crear nuevo documento." ma:contentTypeScope="" ma:versionID="184c017ef11f757dd1d3f309adb77ce8">
  <xsd:schema xmlns:xsd="http://www.w3.org/2001/XMLSchema" xmlns:xs="http://www.w3.org/2001/XMLSchema" xmlns:p="http://schemas.microsoft.com/office/2006/metadata/properties" xmlns:ns2="f395fba1-d428-49b9-81ff-aa9e3589629e" targetNamespace="http://schemas.microsoft.com/office/2006/metadata/properties" ma:root="true" ma:fieldsID="e134df561fea889fb5f86e84664c9627" ns2:_="">
    <xsd:import namespace="f395fba1-d428-49b9-81ff-aa9e3589629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5fba1-d428-49b9-81ff-aa9e3589629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7c65f495-4fb9-44bd-843f-5a04aafb84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4B2AAE-BC43-4897-A9BF-3FBA179621A6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f395fba1-d428-49b9-81ff-aa9e3589629e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B86B90E-FE2D-4740-BEA7-03E09CF62B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0B7790-C41C-4F03-8C12-2B61BEA96D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95fba1-d428-49b9-81ff-aa9e358962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DICIEMBRE 2023</vt:lpstr>
      <vt:lpstr>Constancias Mayo</vt:lpstr>
      <vt:lpstr>Constancias Junio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Constancias Enero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</dc:creator>
  <cp:keywords/>
  <dc:description/>
  <cp:lastModifiedBy>Gustavo  Chura Alay</cp:lastModifiedBy>
  <cp:revision/>
  <dcterms:created xsi:type="dcterms:W3CDTF">2024-01-19T02:49:32Z</dcterms:created>
  <dcterms:modified xsi:type="dcterms:W3CDTF">2026-01-22T14:29:44Z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0x010100D1D598A1C4A5D147AFEAFCB8E9AD5748</vt:lpwstr>
  </property>
  <property fmtid="{D5CDD505-2E9C-101B-9397-08002B2CF9AE}" pid="3" name="MediaServiceImageTags">
    <vt:lpwstr/>
  </property>
</Properties>
</file>